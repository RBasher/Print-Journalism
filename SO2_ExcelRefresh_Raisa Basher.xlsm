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ublic\CIS2010\"/>
    </mc:Choice>
  </mc:AlternateContent>
  <xr:revisionPtr revIDLastSave="0" documentId="13_ncr:1_{9470860D-683C-48B1-BDDD-6472BA89C175}" xr6:coauthVersionLast="47" xr6:coauthVersionMax="47" xr10:uidLastSave="{00000000-0000-0000-0000-000000000000}"/>
  <bookViews>
    <workbookView xWindow="-108" yWindow="-108" windowWidth="23256" windowHeight="12456" activeTab="6" xr2:uid="{123D93F9-106C-4B0C-9B14-CB10A50C9FF2}"/>
  </bookViews>
  <sheets>
    <sheet name="StartHere" sheetId="1" r:id="rId1"/>
    <sheet name="Revenue" sheetId="37" r:id="rId2"/>
    <sheet name="GA_county_tax" sheetId="38" r:id="rId3"/>
    <sheet name="CCmeeting" sheetId="36" state="veryHidden" r:id="rId4"/>
    <sheet name="ScoreByWeek" sheetId="40" r:id="rId5"/>
    <sheet name="Quarterly" sheetId="39" r:id="rId6"/>
    <sheet name="Circulation" sheetId="41" r:id="rId7"/>
    <sheet name="Circ2" sheetId="42" state="veryHidden" r:id="rId8"/>
    <sheet name="5.ID" sheetId="4" state="veryHidden" r:id="rId9"/>
  </sheets>
  <definedNames>
    <definedName name="_xlnm._FilterDatabase" localSheetId="2" hidden="1">GA_county_tax!$A$1:$D$161</definedName>
    <definedName name="_xlnm._FilterDatabase" localSheetId="5" hidden="1">Quarterly!$B$3:$B$212</definedName>
    <definedName name="_xlnm._FilterDatabase" localSheetId="4" hidden="1">ScoreByWeek!$A$1:$A$16</definedName>
  </definedNames>
  <calcPr calcId="191029"/>
  <fileRecoveryPr autoRecover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6" i="41" l="1"/>
  <c r="D66" i="41"/>
  <c r="C65" i="41"/>
  <c r="D65" i="41"/>
  <c r="C64" i="41"/>
  <c r="D64" i="41"/>
  <c r="B66" i="41"/>
  <c r="B65" i="41"/>
  <c r="B64" i="41"/>
  <c r="C63" i="41"/>
  <c r="D63" i="41"/>
  <c r="B63" i="41"/>
  <c r="E6" i="41"/>
  <c r="E7" i="41"/>
  <c r="E8" i="41"/>
  <c r="E9" i="41"/>
  <c r="E10" i="41"/>
  <c r="E11" i="41"/>
  <c r="E12" i="41"/>
  <c r="E13" i="41"/>
  <c r="E14" i="4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3" i="41"/>
  <c r="E34" i="41"/>
  <c r="E35" i="41"/>
  <c r="E36" i="41"/>
  <c r="E37" i="41"/>
  <c r="E38" i="41"/>
  <c r="E39" i="41"/>
  <c r="E40" i="41"/>
  <c r="E41" i="41"/>
  <c r="E42" i="41"/>
  <c r="E43" i="41"/>
  <c r="E44" i="41"/>
  <c r="E45" i="41"/>
  <c r="E46" i="41"/>
  <c r="E47" i="41"/>
  <c r="E48" i="41"/>
  <c r="E49" i="41"/>
  <c r="E50" i="41"/>
  <c r="E51" i="41"/>
  <c r="E52" i="41"/>
  <c r="E53" i="41"/>
  <c r="E54" i="41"/>
  <c r="E55" i="41"/>
  <c r="E56" i="41"/>
  <c r="E57" i="41"/>
  <c r="E58" i="41"/>
  <c r="E59" i="41"/>
  <c r="E60" i="41"/>
  <c r="E5" i="41"/>
  <c r="C27" i="41"/>
  <c r="D27" i="41"/>
  <c r="B27" i="41"/>
  <c r="F23" i="40"/>
  <c r="C23" i="40"/>
  <c r="D23" i="40"/>
  <c r="E23" i="40"/>
  <c r="B19" i="40"/>
  <c r="C18" i="40"/>
  <c r="D18" i="40"/>
  <c r="E18" i="40"/>
  <c r="F18" i="40"/>
  <c r="G18" i="40"/>
  <c r="B18" i="40"/>
  <c r="I17" i="40"/>
  <c r="I4" i="40"/>
  <c r="I5" i="40"/>
  <c r="I6" i="40"/>
  <c r="I7" i="40"/>
  <c r="I8" i="40"/>
  <c r="I9" i="40"/>
  <c r="I10" i="40"/>
  <c r="I11" i="40"/>
  <c r="I12" i="40"/>
  <c r="I13" i="40"/>
  <c r="I14" i="40"/>
  <c r="I15" i="40"/>
  <c r="I16" i="40"/>
  <c r="I3" i="40"/>
  <c r="I2" i="40"/>
  <c r="E214" i="39"/>
  <c r="C216" i="39"/>
  <c r="C215" i="39"/>
  <c r="K1" i="38"/>
  <c r="B165" i="38"/>
  <c r="C163" i="38"/>
  <c r="D163" i="38"/>
  <c r="E163" i="38"/>
  <c r="F163" i="38"/>
  <c r="G163" i="38"/>
  <c r="H163" i="38"/>
  <c r="I163" i="38"/>
  <c r="J163" i="38"/>
  <c r="B163" i="38"/>
  <c r="C31" i="37"/>
  <c r="D31" i="37"/>
  <c r="E31" i="37"/>
  <c r="B31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6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7" i="37"/>
  <c r="G8" i="37"/>
  <c r="G6" i="37"/>
  <c r="A62" i="41"/>
  <c r="A20" i="40"/>
  <c r="A3" i="37"/>
  <c r="E62" i="41"/>
  <c r="G5" i="40"/>
  <c r="E3" i="37"/>
  <c r="D4" i="42"/>
  <c r="D5" i="42"/>
  <c r="D6" i="42"/>
  <c r="D7" i="42"/>
  <c r="D8" i="42"/>
  <c r="D9" i="42"/>
  <c r="D10" i="42"/>
  <c r="D11" i="42"/>
  <c r="D12" i="42"/>
  <c r="D13" i="42"/>
  <c r="D14" i="42"/>
  <c r="D15" i="42"/>
  <c r="D16" i="42"/>
  <c r="D17" i="42"/>
  <c r="D18" i="42"/>
  <c r="D19" i="42"/>
  <c r="D20" i="42"/>
  <c r="D21" i="42"/>
  <c r="D22" i="42"/>
  <c r="D23" i="42"/>
  <c r="D24" i="42"/>
  <c r="D25" i="42"/>
  <c r="D26" i="42"/>
  <c r="D27" i="42"/>
  <c r="D28" i="42"/>
  <c r="D29" i="42"/>
  <c r="D30" i="42"/>
  <c r="D31" i="42"/>
  <c r="D32" i="42"/>
  <c r="D33" i="42"/>
  <c r="D34" i="42"/>
  <c r="D35" i="42"/>
  <c r="D36" i="42"/>
  <c r="D37" i="42"/>
  <c r="D38" i="42"/>
  <c r="D39" i="42"/>
  <c r="D40" i="42"/>
  <c r="D41" i="42"/>
  <c r="D42" i="42"/>
  <c r="D43" i="42"/>
  <c r="D44" i="42"/>
  <c r="D45" i="42"/>
  <c r="D46" i="42"/>
  <c r="D47" i="42"/>
  <c r="D48" i="42"/>
  <c r="D49" i="42"/>
  <c r="D50" i="42"/>
  <c r="D51" i="42"/>
  <c r="D52" i="42"/>
  <c r="D53" i="42"/>
  <c r="D54" i="42"/>
  <c r="D55" i="42"/>
  <c r="D56" i="42"/>
  <c r="D57" i="42"/>
  <c r="D58" i="42"/>
  <c r="D59" i="42"/>
  <c r="D60" i="42"/>
  <c r="D61" i="42"/>
  <c r="D62" i="42"/>
  <c r="D63" i="42"/>
  <c r="D64" i="42"/>
  <c r="D65" i="42"/>
  <c r="D66" i="42"/>
  <c r="D67" i="42"/>
  <c r="D68" i="42"/>
  <c r="D69" i="42"/>
  <c r="D70" i="42"/>
  <c r="D71" i="42"/>
  <c r="D72" i="42"/>
  <c r="D73" i="42"/>
  <c r="D74" i="42"/>
  <c r="D75" i="42"/>
  <c r="D76" i="42"/>
  <c r="D77" i="42"/>
  <c r="D3" i="42"/>
  <c r="C69" i="42"/>
  <c r="B69" i="42"/>
  <c r="B23" i="40" l="1"/>
  <c r="A1" i="36" l="1"/>
  <c r="C18" i="1" l="1"/>
  <c r="C17" i="1"/>
  <c r="C16" i="1" l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Kurt Schmitz</author>
  </authors>
  <commentList>
    <comment ref="A2" authorId="0" shapeId="0" xr:uid="{3A5715C4-F5F2-46E4-93AA-B9872456AD19}">
      <text>
        <r>
          <rPr>
            <sz val="9"/>
            <color indexed="81"/>
            <rFont val="Tahoma"/>
            <family val="2"/>
          </rPr>
          <t>City of Atlanta is in both Fulton Co and Dekalb Co</t>
        </r>
      </text>
    </comment>
    <comment ref="H62" authorId="0" shapeId="0" xr:uid="{BD94214B-0BDD-44FB-853E-9E3BC47EA7FF}">
      <text>
        <r>
          <rPr>
            <b/>
            <sz val="9"/>
            <color indexed="81"/>
            <rFont val="Tahoma"/>
            <family val="2"/>
          </rPr>
          <t>Kurt Schmitz:</t>
        </r>
        <r>
          <rPr>
            <sz val="9"/>
            <color indexed="81"/>
            <rFont val="Tahoma"/>
            <family val="2"/>
          </rPr>
          <t xml:space="preserve">
0.75 TSPLOST outside Atlanta only (inside Atlanta -0.75 + 1.90)
</t>
        </r>
      </text>
    </comment>
  </commentList>
</comments>
</file>

<file path=xl/sharedStrings.xml><?xml version="1.0" encoding="utf-8"?>
<sst xmlns="http://schemas.openxmlformats.org/spreadsheetml/2006/main" count="1239" uniqueCount="508">
  <si>
    <t>Name</t>
  </si>
  <si>
    <t>Date/time</t>
  </si>
  <si>
    <t xml:space="preserve"> &lt;&lt;- enter your name here</t>
  </si>
  <si>
    <t xml:space="preserve"> &lt;&lt;- enter your Student ID here</t>
  </si>
  <si>
    <t>Panther ID</t>
  </si>
  <si>
    <t>Do Not Alter or Delete this Worksheet or you submission cannot be graded!</t>
  </si>
  <si>
    <t>(2)</t>
  </si>
  <si>
    <t xml:space="preserve"> assignment folder to receive credit for this workshop/tutorial</t>
  </si>
  <si>
    <t>(3)</t>
  </si>
  <si>
    <t>(4)</t>
  </si>
  <si>
    <t>Action</t>
  </si>
  <si>
    <t>Individual Challenge started</t>
  </si>
  <si>
    <t>Date/Time</t>
  </si>
  <si>
    <t>Starter Sheet</t>
  </si>
  <si>
    <t>None</t>
  </si>
  <si>
    <t>Never use a file created or started by another student (that is academic dishonesty).
All text, codes, writing, data entry, formulas, configuration and instructions must be performed by the individual submitting the work.</t>
  </si>
  <si>
    <t>Collaboration Started</t>
  </si>
  <si>
    <t>Student ID</t>
  </si>
  <si>
    <t>(1)</t>
  </si>
  <si>
    <t>Excel release</t>
  </si>
  <si>
    <t>OS</t>
  </si>
  <si>
    <t xml:space="preserve">Change the file name to include your name. </t>
  </si>
  <si>
    <t>When done with your work, Click [I'm Done]</t>
  </si>
  <si>
    <t>Upload the file to the applicable iCollege</t>
  </si>
  <si>
    <r>
      <t xml:space="preserve">Add your name to </t>
    </r>
    <r>
      <rPr>
        <i/>
        <sz val="11"/>
        <color theme="5" tint="-0.499984740745262"/>
        <rFont val="Calibri"/>
        <family val="2"/>
        <scheme val="minor"/>
      </rPr>
      <t>Cell C4</t>
    </r>
    <r>
      <rPr>
        <sz val="11"/>
        <color theme="1"/>
        <rFont val="Calibri"/>
        <family val="2"/>
        <scheme val="minor"/>
      </rPr>
      <t xml:space="preserve"> and your Student ID to cell C6. Then  Click [Start Here] to finish loading data.</t>
    </r>
  </si>
  <si>
    <t>You must use Excel Desktop. Cloud Excel 365 will not work for this class.</t>
  </si>
  <si>
    <t>Here</t>
  </si>
  <si>
    <t>Replace the Screenshot in the cell below with an image from your computer showing participants by name and date/time</t>
  </si>
  <si>
    <t>Windows Screen capture</t>
  </si>
  <si>
    <t>Shift-Window-S</t>
  </si>
  <si>
    <t>Macontosh Screen capture</t>
  </si>
  <si>
    <t>Shift-Command-5</t>
  </si>
  <si>
    <t>Daily Newspaper Advertising Revenues</t>
  </si>
  <si>
    <t>Revenue in billions of dollars</t>
  </si>
  <si>
    <t>Retail</t>
  </si>
  <si>
    <t>National</t>
  </si>
  <si>
    <t>Classified</t>
  </si>
  <si>
    <t>Print Total in Billions of Dollars</t>
  </si>
  <si>
    <t>$ Change 
year-to-year</t>
  </si>
  <si>
    <t>year to year Percent Change</t>
  </si>
  <si>
    <t>Yes, that's correct!</t>
  </si>
  <si>
    <t>Well done!</t>
  </si>
  <si>
    <t>Average</t>
  </si>
  <si>
    <t>Std Deviation</t>
  </si>
  <si>
    <t>Use STDEV.S()</t>
  </si>
  <si>
    <t>Correct!</t>
  </si>
  <si>
    <t>Note: The data for 2010 were updated when full-year figures came out on March 15, 2011.</t>
  </si>
  <si>
    <t>Source: Newspaper Association of America</t>
  </si>
  <si>
    <t>Pew Research Center's Project for Excellence in Journalism</t>
  </si>
  <si>
    <t>2011 State of the News Media</t>
  </si>
  <si>
    <t>Jurisdiction</t>
  </si>
  <si>
    <t>Sales_tax</t>
  </si>
  <si>
    <t>County</t>
  </si>
  <si>
    <t>MARTA</t>
  </si>
  <si>
    <t>Local Opt</t>
  </si>
  <si>
    <t>Special</t>
  </si>
  <si>
    <t>Education</t>
  </si>
  <si>
    <t>Transportation</t>
  </si>
  <si>
    <t>Other</t>
  </si>
  <si>
    <t>Homestead</t>
  </si>
  <si>
    <t>Atlanta (City of)</t>
  </si>
  <si>
    <t>x</t>
  </si>
  <si>
    <t>Appling County</t>
  </si>
  <si>
    <t>Atkinson County</t>
  </si>
  <si>
    <t>Bacon County</t>
  </si>
  <si>
    <t>Baker County</t>
  </si>
  <si>
    <t>Baldwin County</t>
  </si>
  <si>
    <t>Banks County</t>
  </si>
  <si>
    <t>Barrow County</t>
  </si>
  <si>
    <t>Bartow County</t>
  </si>
  <si>
    <t>Ben Hill County</t>
  </si>
  <si>
    <t>Berrien County</t>
  </si>
  <si>
    <t>Bibb County</t>
  </si>
  <si>
    <t>Bleckley County</t>
  </si>
  <si>
    <t>Brantley County</t>
  </si>
  <si>
    <t>Brooks County</t>
  </si>
  <si>
    <t>Bryan County</t>
  </si>
  <si>
    <t>Bulloch County</t>
  </si>
  <si>
    <t>Burke County</t>
  </si>
  <si>
    <t>Butts County</t>
  </si>
  <si>
    <t>Calhoun County</t>
  </si>
  <si>
    <t>Camden County</t>
  </si>
  <si>
    <t>Candler County</t>
  </si>
  <si>
    <t>Carroll County</t>
  </si>
  <si>
    <t>Catoosa County</t>
  </si>
  <si>
    <t>Charlton County</t>
  </si>
  <si>
    <t>Chatham County</t>
  </si>
  <si>
    <t>Chattahoochee County</t>
  </si>
  <si>
    <t>Chattooga County</t>
  </si>
  <si>
    <t>Cherokee County</t>
  </si>
  <si>
    <t>Clarke County</t>
  </si>
  <si>
    <t>Clay County</t>
  </si>
  <si>
    <t>Clayton County</t>
  </si>
  <si>
    <t>Clinch County</t>
  </si>
  <si>
    <t>Cobb County</t>
  </si>
  <si>
    <t>Coffee County</t>
  </si>
  <si>
    <t>Colquitt County</t>
  </si>
  <si>
    <t>Columbia County</t>
  </si>
  <si>
    <t>Cook County</t>
  </si>
  <si>
    <t>Coweta County</t>
  </si>
  <si>
    <t>Crawford County</t>
  </si>
  <si>
    <t>Crisp County</t>
  </si>
  <si>
    <t>Dade County</t>
  </si>
  <si>
    <t>Dawson County</t>
  </si>
  <si>
    <t>Decatur County</t>
  </si>
  <si>
    <t>DeKalb County</t>
  </si>
  <si>
    <t>Dodge County</t>
  </si>
  <si>
    <t>Dooly County</t>
  </si>
  <si>
    <t>Dougherty County</t>
  </si>
  <si>
    <t>Douglas County</t>
  </si>
  <si>
    <t>Early County</t>
  </si>
  <si>
    <t>Echols County</t>
  </si>
  <si>
    <t>Effingham County</t>
  </si>
  <si>
    <t>Elbert County</t>
  </si>
  <si>
    <t>Emanuel County</t>
  </si>
  <si>
    <t>Evans County</t>
  </si>
  <si>
    <t>Fannin County</t>
  </si>
  <si>
    <t>Fayette County</t>
  </si>
  <si>
    <t>Floyd County</t>
  </si>
  <si>
    <t>Forsyth County</t>
  </si>
  <si>
    <t>Franklin County</t>
  </si>
  <si>
    <t>Fulton County</t>
  </si>
  <si>
    <t>Gilmer County</t>
  </si>
  <si>
    <t>Glascock County</t>
  </si>
  <si>
    <t>Glynn County</t>
  </si>
  <si>
    <t>Gordon County</t>
  </si>
  <si>
    <t>Grady County</t>
  </si>
  <si>
    <t>Greene County</t>
  </si>
  <si>
    <t>Gwinnett County</t>
  </si>
  <si>
    <t>Habersham County</t>
  </si>
  <si>
    <t>Hall County</t>
  </si>
  <si>
    <t>Hancock County</t>
  </si>
  <si>
    <t>Haralson County</t>
  </si>
  <si>
    <t>Harris County</t>
  </si>
  <si>
    <t>Hart County</t>
  </si>
  <si>
    <t>Heard County</t>
  </si>
  <si>
    <t>Henry County</t>
  </si>
  <si>
    <t>Houston County</t>
  </si>
  <si>
    <t>Irwin County</t>
  </si>
  <si>
    <t>Jackson County</t>
  </si>
  <si>
    <t>Jasper County</t>
  </si>
  <si>
    <t>Jeff Davis County</t>
  </si>
  <si>
    <t>Jefferson County</t>
  </si>
  <si>
    <t>Jenkins County</t>
  </si>
  <si>
    <t>Johnson County</t>
  </si>
  <si>
    <t>Jones County</t>
  </si>
  <si>
    <t>Lamar County</t>
  </si>
  <si>
    <t>Lanier County</t>
  </si>
  <si>
    <t>Laurens County</t>
  </si>
  <si>
    <t>Lee County</t>
  </si>
  <si>
    <t>Liberty County</t>
  </si>
  <si>
    <t>Lincoln County</t>
  </si>
  <si>
    <t>Long County</t>
  </si>
  <si>
    <t>Lowndes County</t>
  </si>
  <si>
    <t>Lumpkin County</t>
  </si>
  <si>
    <t>Macon County</t>
  </si>
  <si>
    <t>Madison County</t>
  </si>
  <si>
    <t>Marion County</t>
  </si>
  <si>
    <t>McDuffie County</t>
  </si>
  <si>
    <t>McIntosh County</t>
  </si>
  <si>
    <t>Meriwether County</t>
  </si>
  <si>
    <t>Miller County</t>
  </si>
  <si>
    <t>Mitchell County</t>
  </si>
  <si>
    <t>Monroe County</t>
  </si>
  <si>
    <t>Montgomery County</t>
  </si>
  <si>
    <t>Morgan County</t>
  </si>
  <si>
    <t>Murray County</t>
  </si>
  <si>
    <t>Muscogee County</t>
  </si>
  <si>
    <t>Newton County</t>
  </si>
  <si>
    <t>Oconee County</t>
  </si>
  <si>
    <t>Oglethorpe County</t>
  </si>
  <si>
    <t>Paulding County</t>
  </si>
  <si>
    <t>Peach County</t>
  </si>
  <si>
    <t>Pickens County</t>
  </si>
  <si>
    <t>Pierce County</t>
  </si>
  <si>
    <t>Pike County</t>
  </si>
  <si>
    <t>Polk County</t>
  </si>
  <si>
    <t>Pulaski County</t>
  </si>
  <si>
    <t>Putnam County</t>
  </si>
  <si>
    <t>Quitman County</t>
  </si>
  <si>
    <t>Rabun County</t>
  </si>
  <si>
    <t>Randolph County</t>
  </si>
  <si>
    <t>Richmond County</t>
  </si>
  <si>
    <t>Rockdale County</t>
  </si>
  <si>
    <t>Schley County</t>
  </si>
  <si>
    <t>Screven County</t>
  </si>
  <si>
    <t>Seminole County</t>
  </si>
  <si>
    <t>Spalding County</t>
  </si>
  <si>
    <t>Stephens County</t>
  </si>
  <si>
    <t>Stewart County</t>
  </si>
  <si>
    <t>Sumter County</t>
  </si>
  <si>
    <t>Talbot County</t>
  </si>
  <si>
    <t>Taliaferro County</t>
  </si>
  <si>
    <t>Tattnall County</t>
  </si>
  <si>
    <t>Taylor County</t>
  </si>
  <si>
    <t>Telfair County</t>
  </si>
  <si>
    <t>Terrell County</t>
  </si>
  <si>
    <t>Thomas County</t>
  </si>
  <si>
    <t>Tift County</t>
  </si>
  <si>
    <t>Toombs County</t>
  </si>
  <si>
    <t>Towns County</t>
  </si>
  <si>
    <t>Treutlen County</t>
  </si>
  <si>
    <t>Troup County</t>
  </si>
  <si>
    <t>Turner County</t>
  </si>
  <si>
    <t>Twiggs County</t>
  </si>
  <si>
    <t>Union County</t>
  </si>
  <si>
    <t>Upson County</t>
  </si>
  <si>
    <t>Walker County</t>
  </si>
  <si>
    <t>Walton County</t>
  </si>
  <si>
    <t>Ware County</t>
  </si>
  <si>
    <t>Warren County</t>
  </si>
  <si>
    <t>Washington County</t>
  </si>
  <si>
    <t>Wayne County</t>
  </si>
  <si>
    <t>Webster County</t>
  </si>
  <si>
    <t>Wheeler County</t>
  </si>
  <si>
    <t>White County</t>
  </si>
  <si>
    <t>Whitfield County</t>
  </si>
  <si>
    <t>Wilcox County</t>
  </si>
  <si>
    <t>Wilkes County</t>
  </si>
  <si>
    <t>Wilkinson County</t>
  </si>
  <si>
    <t>Worth County</t>
  </si>
  <si>
    <t>Count</t>
  </si>
  <si>
    <t>Sum</t>
  </si>
  <si>
    <t>Min</t>
  </si>
  <si>
    <t>Max</t>
  </si>
  <si>
    <t>Data source Jan 2018: https://dor.georgia.gov/sites/dor.georgia.gov/files/related_files/document/LGS/Distributions/LGS_2018_Jan_Rate_Chart.pdf</t>
  </si>
  <si>
    <t> NATIONAL</t>
  </si>
  <si>
    <t>RETAIL</t>
  </si>
  <si>
    <t>CLASSIFIED</t>
  </si>
  <si>
    <t>TOTAL PRINT</t>
  </si>
  <si>
    <t>TOTAL ONLINE</t>
  </si>
  <si>
    <t>TOTAL PRINT AND ONLINE</t>
  </si>
  <si>
    <t>Year</t>
  </si>
  <si>
    <t>Quarter</t>
  </si>
  <si>
    <t>$ Millions</t>
  </si>
  <si>
    <t>% Change</t>
  </si>
  <si>
    <t> 1,959.85</t>
  </si>
  <si>
    <t> 3.85%</t>
  </si>
  <si>
    <t> 5,289.45</t>
  </si>
  <si>
    <t> 3.50%</t>
  </si>
  <si>
    <t> 4,022.28</t>
  </si>
  <si>
    <t> 4.25%</t>
  </si>
  <si>
    <t> 11,271.59</t>
  </si>
  <si>
    <t>3.62% </t>
  </si>
  <si>
    <t>5,091.50 </t>
  </si>
  <si>
    <t>5.19% </t>
  </si>
  <si>
    <t>13,699.98 </t>
  </si>
  <si>
    <t>4.23% </t>
  </si>
  <si>
    <t> 1,875.34</t>
  </si>
  <si>
    <t> -8.46%</t>
  </si>
  <si>
    <t> -2.23%</t>
  </si>
  <si>
    <t> 3,960.75</t>
  </si>
  <si>
    <t> -15.52%</t>
  </si>
  <si>
    <t> 11,088.64</t>
  </si>
  <si>
    <t> -8.43%</t>
  </si>
  <si>
    <t> 1,657.48</t>
  </si>
  <si>
    <t> 4,937.22</t>
  </si>
  <si>
    <t> -3.77%</t>
  </si>
  <si>
    <t> 3,994.92</t>
  </si>
  <si>
    <t> -17.10%</t>
  </si>
  <si>
    <t> 1,821.93</t>
  </si>
  <si>
    <t>18.7% </t>
  </si>
  <si>
    <t>0.5% </t>
  </si>
  <si>
    <t>6.7% </t>
  </si>
  <si>
    <t>5.7% </t>
  </si>
  <si>
    <t> 2,048.66</t>
  </si>
  <si>
    <t> 5,372.35</t>
  </si>
  <si>
    <t>5.2% </t>
  </si>
  <si>
    <t>4,688.39 </t>
  </si>
  <si>
    <t>5.5% </t>
  </si>
  <si>
    <t>12,109.40 </t>
  </si>
  <si>
    <t>6.8% </t>
  </si>
  <si>
    <t> 1,858.99</t>
  </si>
  <si>
    <t>14.5% </t>
  </si>
  <si>
    <t>5,130.64 </t>
  </si>
  <si>
    <t>0.7% </t>
  </si>
  <si>
    <t>4.8% </t>
  </si>
  <si>
    <t>11,808.59 </t>
  </si>
  <si>
    <t> 1,923.01</t>
  </si>
  <si>
    <t>8.0% </t>
  </si>
  <si>
    <t>6,297.94 </t>
  </si>
  <si>
    <t>2.9% </t>
  </si>
  <si>
    <t>5,714.35 </t>
  </si>
  <si>
    <t>4.0% </t>
  </si>
  <si>
    <t>13,934.30 </t>
  </si>
  <si>
    <t>4.1% </t>
  </si>
  <si>
    <t>    </t>
  </si>
  <si>
    <t>1,534.90 </t>
  </si>
  <si>
    <t>12.60% </t>
  </si>
  <si>
    <t>4,586.10 </t>
  </si>
  <si>
    <t>4.50% </t>
  </si>
  <si>
    <t>4,111.40 </t>
  </si>
  <si>
    <t>3.80% </t>
  </si>
  <si>
    <t>1,792.35 </t>
  </si>
  <si>
    <t>17.40% </t>
  </si>
  <si>
    <t>5,106.80 </t>
  </si>
  <si>
    <t>1.80% </t>
  </si>
  <si>
    <t>4,443.97 </t>
  </si>
  <si>
    <t>17.90% </t>
  </si>
  <si>
    <t>5,096.89 </t>
  </si>
  <si>
    <t>2.90% </t>
  </si>
  <si>
    <t>4,600.11 </t>
  </si>
  <si>
    <t>11,321.38 </t>
  </si>
  <si>
    <t>5.50% </t>
  </si>
  <si>
    <t> 22.50%</t>
  </si>
  <si>
    <t> 2.42%</t>
  </si>
  <si>
    <t> 4.95%</t>
  </si>
  <si>
    <t> 13,391.54</t>
  </si>
  <si>
    <t> 5.77%</t>
  </si>
  <si>
    <t>1,363.00 </t>
  </si>
  <si>
    <t>10.20% </t>
  </si>
  <si>
    <t>4,389.90 </t>
  </si>
  <si>
    <t>4.90% </t>
  </si>
  <si>
    <t>3,959.80 </t>
  </si>
  <si>
    <t>10.60% </t>
  </si>
  <si>
    <t>1,526.70 </t>
  </si>
  <si>
    <t>8.70% </t>
  </si>
  <si>
    <t> 4,275.10</t>
  </si>
  <si>
    <t>1,378.00 </t>
  </si>
  <si>
    <t> 6.20%</t>
  </si>
  <si>
    <t> 4,951.80</t>
  </si>
  <si>
    <t>  5.60%</t>
  </si>
  <si>
    <t> 4,403.70</t>
  </si>
  <si>
    <t>1,453.40 </t>
  </si>
  <si>
    <t> 5.70%</t>
  </si>
  <si>
    <t> 5,972.70</t>
  </si>
  <si>
    <t>  5.30%</t>
  </si>
  <si>
    <t> 5,234.90</t>
  </si>
  <si>
    <t>1,236.70 </t>
  </si>
  <si>
    <t>12.20% </t>
  </si>
  <si>
    <t>4,184.20 </t>
  </si>
  <si>
    <t>5.60% </t>
  </si>
  <si>
    <t>3,579.60 </t>
  </si>
  <si>
    <t> 10.50%</t>
  </si>
  <si>
    <t>1,404.60 </t>
  </si>
  <si>
    <t>13.90% </t>
  </si>
  <si>
    <t> 4,698.30</t>
  </si>
  <si>
    <t> 4.70%</t>
  </si>
  <si>
    <t>10,098.00 </t>
  </si>
  <si>
    <t>1,297.30 </t>
  </si>
  <si>
    <t>12.90% </t>
  </si>
  <si>
    <t> 4,689.50</t>
  </si>
  <si>
    <t> 5.90%</t>
  </si>
  <si>
    <t> 10.80%</t>
  </si>
  <si>
    <t>1,375.60 </t>
  </si>
  <si>
    <t>16.20% </t>
  </si>
  <si>
    <t> 5,670.50</t>
  </si>
  <si>
    <t> 3.60%</t>
  </si>
  <si>
    <t> 11.50%</t>
  </si>
  <si>
    <t>1,101.80 </t>
  </si>
  <si>
    <t>7.00% </t>
  </si>
  <si>
    <t>0.40% </t>
  </si>
  <si>
    <t> 3,240.80</t>
  </si>
  <si>
    <t> 10.00%</t>
  </si>
  <si>
    <t>1,232.80 </t>
  </si>
  <si>
    <t>6.50% </t>
  </si>
  <si>
    <t> 4,486.30 </t>
  </si>
  <si>
    <t> 0.50%</t>
  </si>
  <si>
    <t> 3,550.10</t>
  </si>
  <si>
    <t>1,148.70 </t>
  </si>
  <si>
    <t>18.00% </t>
  </si>
  <si>
    <t> 4,426.60</t>
  </si>
  <si>
    <t> 3,763.50</t>
  </si>
  <si>
    <t> 10.70%</t>
  </si>
  <si>
    <t>1,183.40 </t>
  </si>
  <si>
    <t>8.50% </t>
  </si>
  <si>
    <t> 5,470.40 </t>
  </si>
  <si>
    <t> 1.10%</t>
  </si>
  <si>
    <t> 4,510.30</t>
  </si>
  <si>
    <t> 8.50%</t>
  </si>
  <si>
    <t>1,029.80 </t>
  </si>
  <si>
    <t>2.70% </t>
  </si>
  <si>
    <t>3,945.00 </t>
  </si>
  <si>
    <t>4.40% </t>
  </si>
  <si>
    <t> 2,946.90</t>
  </si>
  <si>
    <t> 13.10%</t>
  </si>
  <si>
    <t>1,157.20 </t>
  </si>
  <si>
    <t>3.60% </t>
  </si>
  <si>
    <t> 4,464.20</t>
  </si>
  <si>
    <t> 4.10%</t>
  </si>
  <si>
    <t> 3,235.40</t>
  </si>
  <si>
    <t>973.5 </t>
  </si>
  <si>
    <t> 4,278.90</t>
  </si>
  <si>
    <t> 3,400.60</t>
  </si>
  <si>
    <t>1,090.60 </t>
  </si>
  <si>
    <t> 3.80%</t>
  </si>
  <si>
    <t> 5,411.40</t>
  </si>
  <si>
    <t> 4.60%</t>
  </si>
  <si>
    <t>1,003.20 </t>
  </si>
  <si>
    <t>8.20% </t>
  </si>
  <si>
    <t>3,777.60 </t>
  </si>
  <si>
    <t> 2,604.60</t>
  </si>
  <si>
    <t> 9.10%</t>
  </si>
  <si>
    <t>1,117.10 </t>
  </si>
  <si>
    <t> 4.80%</t>
  </si>
  <si>
    <t> 4,287.00</t>
  </si>
  <si>
    <t> 2.20%</t>
  </si>
  <si>
    <t> 2,988.70</t>
  </si>
  <si>
    <t>12.30% </t>
  </si>
  <si>
    <t>979 </t>
  </si>
  <si>
    <t> 4,258.90</t>
  </si>
  <si>
    <t> 4.90%</t>
  </si>
  <si>
    <t> 3,129.40</t>
  </si>
  <si>
    <t> 7.70%</t>
  </si>
  <si>
    <t> 5,172.20</t>
  </si>
  <si>
    <t> 4.40%</t>
  </si>
  <si>
    <t> 3,741.40</t>
  </si>
  <si>
    <t>927.4 </t>
  </si>
  <si>
    <t>-3.10% </t>
  </si>
  <si>
    <t> 3,648.40</t>
  </si>
  <si>
    <t> 6.90%</t>
  </si>
  <si>
    <t> 2,387.20</t>
  </si>
  <si>
    <t>1,066.10 </t>
  </si>
  <si>
    <t> 0.00%</t>
  </si>
  <si>
    <t> 4,193.80</t>
  </si>
  <si>
    <t>  3.40%</t>
  </si>
  <si>
    <t> 2,661.80</t>
  </si>
  <si>
    <t>883.9 </t>
  </si>
  <si>
    <t> -3.30%</t>
  </si>
  <si>
    <t> 4,061.80</t>
  </si>
  <si>
    <t> 2,786.00</t>
  </si>
  <si>
    <t>975.4 </t>
  </si>
  <si>
    <t> 8.90% </t>
  </si>
  <si>
    <t> 4,955.00</t>
  </si>
  <si>
    <t>  4.90%</t>
  </si>
  <si>
    <t> 3,322.30</t>
  </si>
  <si>
    <t>956.9 </t>
  </si>
  <si>
    <t>0.00% </t>
  </si>
  <si>
    <t>3,412.40 </t>
  </si>
  <si>
    <t> -2.70%</t>
  </si>
  <si>
    <t> 2,276.00</t>
  </si>
  <si>
    <t> 0.90%</t>
  </si>
  <si>
    <t>1,066.50 </t>
  </si>
  <si>
    <t>0.10% </t>
  </si>
  <si>
    <t> 4,055.40</t>
  </si>
  <si>
    <t> 0.30%</t>
  </si>
  <si>
    <t> 2,623.30</t>
  </si>
  <si>
    <t>914.4 </t>
  </si>
  <si>
    <t> -2.20%</t>
  </si>
  <si>
    <t> 3,848.00</t>
  </si>
  <si>
    <t>  1.70%</t>
  </si>
  <si>
    <t> 2,702.20</t>
  </si>
  <si>
    <t>895.9 </t>
  </si>
  <si>
    <t> -7.40%</t>
  </si>
  <si>
    <t>  4.90% </t>
  </si>
  <si>
    <t> 3,162.10</t>
  </si>
  <si>
    <t>Maximum</t>
  </si>
  <si>
    <t>Minimum</t>
  </si>
  <si>
    <t>http://www.naa.org/Trends-and-Numbers/Newspaper-Revenue.aspx</t>
  </si>
  <si>
    <t>D</t>
  </si>
  <si>
    <t>Total</t>
  </si>
  <si>
    <t>Subtotal</t>
  </si>
  <si>
    <t>Video</t>
  </si>
  <si>
    <t>Unit Test</t>
  </si>
  <si>
    <t>Sessions</t>
  </si>
  <si>
    <t>Annual Daily and Sunday Newspaper Circulation Expenditures</t>
  </si>
  <si>
    <t>(in $ thousands)</t>
  </si>
  <si>
    <t>Weekday</t>
  </si>
  <si>
    <t>Sunday</t>
  </si>
  <si>
    <t>% change year-to-year</t>
  </si>
  <si>
    <t>Calculate a value for 1990 using linear interpolation (https://en.wikipedia.org/wiki/Interpolation)</t>
  </si>
  <si>
    <t>B-</t>
  </si>
  <si>
    <t>C-</t>
  </si>
  <si>
    <t>A-</t>
  </si>
  <si>
    <t>CCq</t>
  </si>
  <si>
    <t>MCq</t>
  </si>
  <si>
    <t>Starter</t>
  </si>
  <si>
    <t>Refresh</t>
  </si>
  <si>
    <t>Pivot</t>
  </si>
  <si>
    <t>Crypto</t>
  </si>
  <si>
    <t>Macro</t>
  </si>
  <si>
    <t>Validation</t>
  </si>
  <si>
    <t>SQL</t>
  </si>
  <si>
    <t>Tableau</t>
  </si>
  <si>
    <t>Multi-Tool</t>
  </si>
  <si>
    <t>ICq</t>
  </si>
  <si>
    <t xml:space="preserve">     Unit 3 Test and Video</t>
  </si>
  <si>
    <t xml:space="preserve">  </t>
  </si>
  <si>
    <t xml:space="preserve">   </t>
  </si>
  <si>
    <r>
      <t xml:space="preserve">The screenshot is worth points if it contains </t>
    </r>
    <r>
      <rPr>
        <i/>
        <sz val="11"/>
        <color rgb="FF0070C0"/>
        <rFont val="Calibri"/>
        <family val="2"/>
        <scheme val="minor"/>
      </rPr>
      <t>two or more students registered in this class in attendance,</t>
    </r>
    <r>
      <rPr>
        <sz val="11"/>
        <color theme="1"/>
        <rFont val="Calibri"/>
        <family val="2"/>
        <scheme val="minor"/>
      </rPr>
      <t xml:space="preserve"> and contans a </t>
    </r>
    <r>
      <rPr>
        <sz val="11"/>
        <color rgb="FF0070C0"/>
        <rFont val="Calibri"/>
        <family val="2"/>
        <scheme val="minor"/>
      </rPr>
      <t>current date/timestamp</t>
    </r>
    <r>
      <rPr>
        <sz val="11"/>
        <color theme="1"/>
        <rFont val="Calibri"/>
        <family val="2"/>
        <scheme val="minor"/>
      </rPr>
      <t xml:space="preserve"> for any of the days associated with the scheduled session.
The participant list must be from a web conferencing tool such as Webex, MS Teams, Skype or some other tool that allows screen sharing.</t>
    </r>
  </si>
  <si>
    <t>Files</t>
  </si>
  <si>
    <t>Security &amp; Unit 2 Test</t>
  </si>
  <si>
    <t>Debugging &amp; Unit 1 Test</t>
  </si>
  <si>
    <t>Good job!</t>
  </si>
  <si>
    <t>Good Job on B27</t>
  </si>
  <si>
    <t>Good job on D27</t>
  </si>
  <si>
    <t>Good job on C27</t>
  </si>
  <si>
    <t>https://www.journalism.org/fact-sheet/newspapers/</t>
  </si>
  <si>
    <t>Source:Pew Research Center</t>
  </si>
  <si>
    <t>Estimated advertising and circulation ervenue of the newspaper industry</t>
  </si>
  <si>
    <t>Advertising</t>
  </si>
  <si>
    <t>Circulation</t>
  </si>
  <si>
    <t>Sparklines</t>
  </si>
  <si>
    <t>Kurt Schmitz © 2022 Do not post or reproduce.</t>
  </si>
  <si>
    <t>Cumulative points by week</t>
  </si>
  <si>
    <t>Fall 2022</t>
  </si>
  <si>
    <r>
      <t xml:space="preserve">Student Identification Sheet </t>
    </r>
    <r>
      <rPr>
        <sz val="11"/>
        <color theme="0" tint="-0.14999847407452621"/>
        <rFont val="Calibri"/>
        <family val="2"/>
        <scheme val="minor"/>
      </rPr>
      <t>(version 5g)</t>
    </r>
  </si>
  <si>
    <t>Python Logic 1</t>
  </si>
  <si>
    <t>Python Logic 2</t>
  </si>
  <si>
    <t>Python Hash</t>
  </si>
  <si>
    <t>Raisa Basher</t>
  </si>
  <si>
    <t>002532139</t>
  </si>
  <si>
    <t>DirVer</t>
  </si>
  <si>
    <t>Welcome to Microsoft Excel version 16.0 build 15427 running on Windows (64-bit) NT 10.00!</t>
  </si>
  <si>
    <t>C:\Users\raisa\AppData\Local\Temp</t>
  </si>
  <si>
    <t>S02</t>
  </si>
  <si>
    <t>Start S02</t>
  </si>
  <si>
    <t>Raisa Basher started S02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</si>
</sst>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/d/yy\ h:mm\ AM/PM;@"/>
    <numFmt numFmtId="165" formatCode="mmm\-dd\ hh:mm"/>
    <numFmt numFmtId="166" formatCode="dd\-mmm\ hh:mm"/>
    <numFmt numFmtId="167" formatCode="0.0"/>
    <numFmt numFmtId="168" formatCode="0.00000000000000000%"/>
    <numFmt numFmtId="169" formatCode="0.000000000%"/>
    <numFmt numFmtId="170" formatCode="0.0%"/>
    <numFmt numFmtId="171" formatCode="dd\-mmm\-yyyy\ hh:mm"/>
    <numFmt numFmtId="172" formatCode="[$-F800]dddd\,\ mmmm\ dd\,\ yyyy"/>
    <numFmt numFmtId="173" formatCode="&quot;$&quot;#,##0.00"/>
    <numFmt numFmtId="178" formatCode="_(* #,##0_);_(* \(#,##0\);_(* &quot;-&quot;??_);_(@_)"/>
  </numFmts>
  <fonts count="6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i/>
      <sz val="11"/>
      <color theme="5" tint="-0.499984740745262"/>
      <name val="Calibri"/>
      <family val="2"/>
      <scheme val="minor"/>
    </font>
    <font>
      <sz val="12"/>
      <color rgb="FF000000"/>
      <name val="System Font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theme="1"/>
      <name val="Bell MT"/>
      <family val="1"/>
    </font>
    <font>
      <sz val="14"/>
      <color theme="1"/>
      <name val="Century Schoolbook"/>
      <family val="1"/>
    </font>
    <font>
      <b/>
      <sz val="14"/>
      <color theme="0"/>
      <name val="Calibri"/>
      <family val="2"/>
      <scheme val="minor"/>
    </font>
    <font>
      <i/>
      <sz val="9"/>
      <color theme="5" tint="0.39997558519241921"/>
      <name val="Calibri"/>
      <family val="2"/>
      <scheme val="minor"/>
    </font>
    <font>
      <i/>
      <sz val="11"/>
      <color theme="9" tint="0.3999755851924192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5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Verdana"/>
      <family val="2"/>
    </font>
    <font>
      <sz val="8"/>
      <color theme="9" tint="0.59999389629810485"/>
      <name val="Verdana"/>
      <family val="2"/>
    </font>
    <font>
      <sz val="8"/>
      <color theme="0"/>
      <name val="Verdana"/>
      <family val="2"/>
    </font>
    <font>
      <b/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3"/>
      <color indexed="10"/>
      <name val="Trebuchet MS"/>
      <family val="2"/>
    </font>
    <font>
      <sz val="10"/>
      <color theme="9" tint="-0.249977111117893"/>
      <name val="Arial"/>
      <family val="2"/>
    </font>
    <font>
      <b/>
      <i/>
      <sz val="11"/>
      <color indexed="10"/>
      <name val="Trebuchet MS"/>
      <family val="2"/>
    </font>
    <font>
      <sz val="10"/>
      <color theme="0"/>
      <name val="Arial"/>
      <family val="2"/>
    </font>
    <font>
      <b/>
      <sz val="10"/>
      <name val="Trebuchet MS"/>
      <family val="2"/>
    </font>
    <font>
      <i/>
      <sz val="10"/>
      <color theme="9" tint="0.59999389629810485"/>
      <name val="Arial"/>
      <family val="2"/>
    </font>
    <font>
      <sz val="10"/>
      <name val="Trebuchet MS"/>
      <family val="2"/>
    </font>
    <font>
      <sz val="10"/>
      <color rgb="FF0000FF"/>
      <name val="Arial"/>
      <family val="2"/>
    </font>
    <font>
      <i/>
      <sz val="9"/>
      <color theme="4"/>
      <name val="Calibri"/>
      <family val="2"/>
      <scheme val="minor"/>
    </font>
    <font>
      <sz val="10"/>
      <color theme="0"/>
      <name val="Trebuchet MS"/>
      <family val="2"/>
    </font>
    <font>
      <sz val="11"/>
      <color theme="1"/>
      <name val="Bookman Old Style"/>
      <family val="1"/>
    </font>
    <font>
      <i/>
      <sz val="10"/>
      <color rgb="FF0070C0"/>
      <name val="Calibri"/>
      <family val="2"/>
      <scheme val="minor"/>
    </font>
    <font>
      <b/>
      <i/>
      <sz val="8"/>
      <color theme="4"/>
      <name val="Trebuchet MS"/>
      <family val="2"/>
    </font>
    <font>
      <b/>
      <sz val="11"/>
      <color theme="9" tint="-0.499984740745262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i/>
      <sz val="10"/>
      <color theme="0"/>
      <name val="Arial"/>
      <family val="2"/>
    </font>
    <font>
      <sz val="8"/>
      <name val="Calibri"/>
      <family val="2"/>
      <scheme val="minor"/>
    </font>
    <font>
      <sz val="11"/>
      <color theme="7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100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10" fillId="0" borderId="0"/>
    <xf numFmtId="0" fontId="6" fillId="0" borderId="0" applyNumberFormat="0" applyFill="0" applyBorder="0" applyAlignment="0" applyProtection="0"/>
    <xf numFmtId="0" fontId="35" fillId="0" borderId="0"/>
  </cellStyleXfs>
  <cellXfs count="215">
    <xf numFmtId="0" fontId="0" fillId="0" borderId="0" xfId="0"/>
    <xf numFmtId="0" fontId="1" fillId="0" borderId="0" xfId="0" applyFont="1"/>
    <xf numFmtId="0" fontId="2" fillId="0" borderId="0" xfId="0" applyFont="1"/>
    <xf numFmtId="165" fontId="2" fillId="0" borderId="0" xfId="0" applyNumberFormat="1" applyFont="1"/>
    <xf numFmtId="0" fontId="5" fillId="0" borderId="0" xfId="0" applyFont="1"/>
    <xf numFmtId="165" fontId="1" fillId="0" borderId="0" xfId="0" applyNumberFormat="1" applyFont="1"/>
    <xf numFmtId="164" fontId="1" fillId="0" borderId="0" xfId="0" applyNumberFormat="1" applyFont="1"/>
    <xf numFmtId="165" fontId="0" fillId="0" borderId="0" xfId="0" applyNumberFormat="1"/>
    <xf numFmtId="0" fontId="0" fillId="0" borderId="0" xfId="0" quotePrefix="1" applyAlignment="1" applyProtection="1">
      <alignment horizontal="right" vertical="center"/>
    </xf>
    <xf numFmtId="0" fontId="0" fillId="0" borderId="0" xfId="0" applyAlignment="1" applyProtection="1">
      <alignment vertical="center"/>
    </xf>
    <xf numFmtId="0" fontId="0" fillId="0" borderId="0" xfId="0" quotePrefix="1" applyAlignment="1" applyProtection="1">
      <alignment horizontal="center" vertical="center"/>
    </xf>
    <xf numFmtId="0" fontId="14" fillId="0" borderId="0" xfId="0" applyFont="1" applyAlignment="1" applyProtection="1">
      <alignment vertical="center"/>
    </xf>
    <xf numFmtId="0" fontId="9" fillId="0" borderId="0" xfId="0" quotePrefix="1" applyFont="1" applyAlignment="1" applyProtection="1">
      <alignment horizontal="center" vertical="center"/>
    </xf>
    <xf numFmtId="0" fontId="9" fillId="0" borderId="0" xfId="0" applyFont="1" applyAlignment="1" applyProtection="1">
      <alignment vertical="center" wrapText="1"/>
    </xf>
    <xf numFmtId="0" fontId="15" fillId="0" borderId="0" xfId="0" applyFont="1"/>
    <xf numFmtId="0" fontId="0" fillId="0" borderId="0" xfId="0" applyProtection="1"/>
    <xf numFmtId="0" fontId="1" fillId="0" borderId="0" xfId="0" applyFont="1" applyProtection="1"/>
    <xf numFmtId="166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right"/>
    </xf>
    <xf numFmtId="0" fontId="2" fillId="0" borderId="0" xfId="0" applyFont="1" applyProtection="1"/>
    <xf numFmtId="165" fontId="0" fillId="0" borderId="0" xfId="0" applyNumberFormat="1" applyAlignment="1" applyProtection="1">
      <alignment horizontal="left"/>
    </xf>
    <xf numFmtId="0" fontId="12" fillId="0" borderId="0" xfId="0" applyFont="1" applyProtection="1"/>
    <xf numFmtId="0" fontId="13" fillId="0" borderId="0" xfId="0" applyFont="1" applyProtection="1"/>
    <xf numFmtId="165" fontId="4" fillId="0" borderId="0" xfId="0" applyNumberFormat="1" applyFont="1" applyAlignment="1" applyProtection="1">
      <alignment horizontal="left"/>
    </xf>
    <xf numFmtId="165" fontId="2" fillId="0" borderId="0" xfId="0" applyNumberFormat="1" applyFont="1" applyProtection="1"/>
    <xf numFmtId="164" fontId="2" fillId="0" borderId="0" xfId="0" applyNumberFormat="1" applyFont="1" applyProtection="1"/>
    <xf numFmtId="0" fontId="3" fillId="0" borderId="0" xfId="0" applyFont="1" applyProtection="1"/>
    <xf numFmtId="164" fontId="0" fillId="2" borderId="1" xfId="0" applyNumberFormat="1" applyFill="1" applyBorder="1" applyProtection="1"/>
    <xf numFmtId="0" fontId="0" fillId="0" borderId="0" xfId="0" applyFont="1" applyAlignment="1" applyProtection="1">
      <alignment vertical="center"/>
    </xf>
    <xf numFmtId="167" fontId="0" fillId="0" borderId="0" xfId="0" applyNumberFormat="1"/>
    <xf numFmtId="165" fontId="21" fillId="0" borderId="0" xfId="0" applyNumberFormat="1" applyFont="1" applyAlignment="1">
      <alignment horizontal="left"/>
    </xf>
    <xf numFmtId="164" fontId="0" fillId="2" borderId="1" xfId="0" applyNumberForma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4" fillId="0" borderId="1" xfId="0" applyFont="1" applyBorder="1" applyAlignment="1">
      <alignment horizontal="center" vertical="center"/>
    </xf>
    <xf numFmtId="0" fontId="19" fillId="0" borderId="0" xfId="0" applyFont="1"/>
    <xf numFmtId="0" fontId="0" fillId="0" borderId="0" xfId="0" applyAlignment="1">
      <alignment horizontal="right" vertical="center"/>
    </xf>
    <xf numFmtId="0" fontId="27" fillId="0" borderId="0" xfId="0" applyFont="1"/>
    <xf numFmtId="0" fontId="28" fillId="0" borderId="0" xfId="0" applyFont="1"/>
    <xf numFmtId="0" fontId="29" fillId="0" borderId="0" xfId="0" applyFont="1"/>
    <xf numFmtId="165" fontId="4" fillId="0" borderId="0" xfId="0" applyNumberFormat="1" applyFont="1" applyAlignment="1">
      <alignment horizontal="left"/>
    </xf>
    <xf numFmtId="0" fontId="30" fillId="0" borderId="0" xfId="0" applyFont="1"/>
    <xf numFmtId="0" fontId="31" fillId="0" borderId="0" xfId="0" applyFont="1"/>
    <xf numFmtId="0" fontId="30" fillId="0" borderId="0" xfId="0" applyFont="1" applyAlignment="1">
      <alignment wrapText="1"/>
    </xf>
    <xf numFmtId="0" fontId="15" fillId="0" borderId="0" xfId="0" applyFont="1" applyAlignment="1">
      <alignment wrapText="1"/>
    </xf>
    <xf numFmtId="167" fontId="1" fillId="0" borderId="0" xfId="0" applyNumberFormat="1" applyFont="1"/>
    <xf numFmtId="0" fontId="32" fillId="0" borderId="0" xfId="97" applyFont="1"/>
    <xf numFmtId="0" fontId="32" fillId="0" borderId="0" xfId="97" applyFont="1" applyAlignment="1">
      <alignment horizontal="center"/>
    </xf>
    <xf numFmtId="0" fontId="10" fillId="0" borderId="0" xfId="97" applyAlignment="1">
      <alignment horizontal="center"/>
    </xf>
    <xf numFmtId="0" fontId="10" fillId="3" borderId="2" xfId="97" applyFill="1" applyBorder="1"/>
    <xf numFmtId="0" fontId="10" fillId="0" borderId="0" xfId="97"/>
    <xf numFmtId="0" fontId="33" fillId="7" borderId="0" xfId="97" applyFont="1" applyFill="1"/>
    <xf numFmtId="10" fontId="33" fillId="7" borderId="0" xfId="97" applyNumberFormat="1" applyFont="1" applyFill="1" applyAlignment="1">
      <alignment horizontal="center"/>
    </xf>
    <xf numFmtId="0" fontId="33" fillId="7" borderId="0" xfId="97" applyFont="1" applyFill="1" applyAlignment="1">
      <alignment horizontal="center"/>
    </xf>
    <xf numFmtId="0" fontId="33" fillId="0" borderId="0" xfId="97" applyFont="1" applyAlignment="1">
      <alignment horizontal="center"/>
    </xf>
    <xf numFmtId="0" fontId="33" fillId="0" borderId="0" xfId="97" applyFont="1"/>
    <xf numFmtId="0" fontId="10" fillId="7" borderId="0" xfId="97" applyFill="1"/>
    <xf numFmtId="10" fontId="10" fillId="7" borderId="0" xfId="97" applyNumberFormat="1" applyFill="1" applyAlignment="1">
      <alignment horizontal="center"/>
    </xf>
    <xf numFmtId="0" fontId="10" fillId="7" borderId="0" xfId="97" applyFill="1" applyAlignment="1">
      <alignment horizontal="center"/>
    </xf>
    <xf numFmtId="0" fontId="10" fillId="3" borderId="2" xfId="97" applyFill="1" applyBorder="1" applyAlignment="1">
      <alignment horizontal="center"/>
    </xf>
    <xf numFmtId="0" fontId="36" fillId="0" borderId="0" xfId="99" applyFont="1"/>
    <xf numFmtId="0" fontId="37" fillId="0" borderId="0" xfId="99" applyFont="1"/>
    <xf numFmtId="0" fontId="38" fillId="0" borderId="0" xfId="99" applyFont="1"/>
    <xf numFmtId="0" fontId="37" fillId="0" borderId="0" xfId="99" applyFont="1" applyAlignment="1">
      <alignment horizontal="center" vertical="top"/>
    </xf>
    <xf numFmtId="0" fontId="39" fillId="0" borderId="0" xfId="99" applyFont="1"/>
    <xf numFmtId="0" fontId="37" fillId="0" borderId="3" xfId="99" applyFont="1" applyBorder="1" applyAlignment="1">
      <alignment vertical="top" wrapText="1"/>
    </xf>
    <xf numFmtId="0" fontId="37" fillId="0" borderId="4" xfId="99" applyFont="1" applyBorder="1" applyAlignment="1">
      <alignment vertical="top" wrapText="1"/>
    </xf>
    <xf numFmtId="0" fontId="36" fillId="0" borderId="9" xfId="99" applyFont="1" applyBorder="1" applyAlignment="1">
      <alignment horizontal="center" vertical="top" wrapText="1"/>
    </xf>
    <xf numFmtId="0" fontId="36" fillId="8" borderId="10" xfId="99" applyFont="1" applyFill="1" applyBorder="1" applyAlignment="1">
      <alignment horizontal="center" vertical="top" wrapText="1"/>
    </xf>
    <xf numFmtId="0" fontId="37" fillId="8" borderId="10" xfId="99" applyFont="1" applyFill="1" applyBorder="1" applyAlignment="1">
      <alignment horizontal="right" vertical="top" wrapText="1"/>
    </xf>
    <xf numFmtId="0" fontId="37" fillId="0" borderId="11" xfId="99" applyFont="1" applyBorder="1" applyAlignment="1">
      <alignment horizontal="center" vertical="top" wrapText="1"/>
    </xf>
    <xf numFmtId="0" fontId="37" fillId="8" borderId="12" xfId="99" applyFont="1" applyFill="1" applyBorder="1" applyAlignment="1">
      <alignment horizontal="center" vertical="top" wrapText="1"/>
    </xf>
    <xf numFmtId="4" fontId="37" fillId="0" borderId="0" xfId="99" applyNumberFormat="1" applyFont="1"/>
    <xf numFmtId="0" fontId="36" fillId="0" borderId="9" xfId="99" applyFont="1" applyBorder="1" applyAlignment="1">
      <alignment horizontal="center"/>
    </xf>
    <xf numFmtId="0" fontId="37" fillId="0" borderId="11" xfId="99" applyFont="1" applyBorder="1" applyAlignment="1">
      <alignment vertical="top" wrapText="1"/>
    </xf>
    <xf numFmtId="0" fontId="37" fillId="8" borderId="12" xfId="99" applyFont="1" applyFill="1" applyBorder="1" applyAlignment="1">
      <alignment vertical="top" wrapText="1"/>
    </xf>
    <xf numFmtId="0" fontId="36" fillId="0" borderId="0" xfId="99" applyFont="1" applyAlignment="1">
      <alignment horizontal="center"/>
    </xf>
    <xf numFmtId="0" fontId="37" fillId="0" borderId="0" xfId="99" applyFont="1" applyAlignment="1">
      <alignment horizontal="right" vertical="top" wrapText="1"/>
    </xf>
    <xf numFmtId="0" fontId="36" fillId="0" borderId="0" xfId="99" applyFont="1" applyAlignment="1">
      <alignment horizontal="left"/>
    </xf>
    <xf numFmtId="0" fontId="40" fillId="0" borderId="0" xfId="99" applyFont="1"/>
    <xf numFmtId="0" fontId="6" fillId="0" borderId="0" xfId="98"/>
    <xf numFmtId="0" fontId="0" fillId="0" borderId="2" xfId="0" applyBorder="1"/>
    <xf numFmtId="0" fontId="0" fillId="0" borderId="0" xfId="0" applyAlignment="1">
      <alignment horizontal="right"/>
    </xf>
    <xf numFmtId="9" fontId="0" fillId="0" borderId="0" xfId="0" applyNumberFormat="1"/>
    <xf numFmtId="0" fontId="14" fillId="0" borderId="0" xfId="0" applyFont="1"/>
    <xf numFmtId="167" fontId="0" fillId="4" borderId="16" xfId="0" applyNumberFormat="1" applyFill="1" applyBorder="1" applyAlignment="1" applyProtection="1">
      <alignment horizontal="center"/>
      <protection locked="0"/>
    </xf>
    <xf numFmtId="167" fontId="0" fillId="4" borderId="17" xfId="0" applyNumberFormat="1" applyFill="1" applyBorder="1" applyAlignment="1" applyProtection="1">
      <alignment horizontal="center"/>
      <protection locked="0"/>
    </xf>
    <xf numFmtId="0" fontId="42" fillId="0" borderId="0" xfId="99" applyFont="1" applyAlignment="1">
      <alignment horizontal="left" indent="1"/>
    </xf>
    <xf numFmtId="0" fontId="35" fillId="0" borderId="0" xfId="99"/>
    <xf numFmtId="0" fontId="43" fillId="0" borderId="0" xfId="99" applyFont="1"/>
    <xf numFmtId="0" fontId="44" fillId="0" borderId="0" xfId="99" applyFont="1" applyAlignment="1">
      <alignment horizontal="left" indent="1"/>
    </xf>
    <xf numFmtId="0" fontId="45" fillId="0" borderId="0" xfId="99" applyFont="1"/>
    <xf numFmtId="0" fontId="46" fillId="9" borderId="18" xfId="99" applyFont="1" applyFill="1" applyBorder="1" applyAlignment="1">
      <alignment wrapText="1"/>
    </xf>
    <xf numFmtId="0" fontId="35" fillId="0" borderId="0" xfId="99" applyAlignment="1">
      <alignment wrapText="1"/>
    </xf>
    <xf numFmtId="0" fontId="47" fillId="0" borderId="0" xfId="99" applyFont="1"/>
    <xf numFmtId="0" fontId="46" fillId="0" borderId="18" xfId="99" applyFont="1" applyBorder="1" applyAlignment="1">
      <alignment wrapText="1"/>
    </xf>
    <xf numFmtId="6" fontId="48" fillId="0" borderId="18" xfId="99" applyNumberFormat="1" applyFont="1" applyBorder="1" applyAlignment="1">
      <alignment horizontal="right" wrapText="1"/>
    </xf>
    <xf numFmtId="6" fontId="48" fillId="0" borderId="19" xfId="99" applyNumberFormat="1" applyFont="1" applyBorder="1" applyAlignment="1">
      <alignment horizontal="right" wrapText="1"/>
    </xf>
    <xf numFmtId="0" fontId="46" fillId="10" borderId="18" xfId="99" applyFont="1" applyFill="1" applyBorder="1" applyAlignment="1">
      <alignment wrapText="1"/>
    </xf>
    <xf numFmtId="6" fontId="48" fillId="10" borderId="18" xfId="99" applyNumberFormat="1" applyFont="1" applyFill="1" applyBorder="1" applyAlignment="1">
      <alignment horizontal="right" wrapText="1"/>
    </xf>
    <xf numFmtId="6" fontId="48" fillId="10" borderId="19" xfId="99" applyNumberFormat="1" applyFont="1" applyFill="1" applyBorder="1" applyAlignment="1">
      <alignment horizontal="right" wrapText="1"/>
    </xf>
    <xf numFmtId="2" fontId="35" fillId="0" borderId="0" xfId="99" applyNumberFormat="1"/>
    <xf numFmtId="6" fontId="48" fillId="10" borderId="20" xfId="99" applyNumberFormat="1" applyFont="1" applyFill="1" applyBorder="1" applyAlignment="1">
      <alignment horizontal="right" wrapText="1"/>
    </xf>
    <xf numFmtId="0" fontId="46" fillId="0" borderId="19" xfId="99" applyFont="1" applyBorder="1" applyAlignment="1">
      <alignment wrapText="1"/>
    </xf>
    <xf numFmtId="6" fontId="48" fillId="10" borderId="21" xfId="99" applyNumberFormat="1" applyFont="1" applyFill="1" applyBorder="1" applyAlignment="1">
      <alignment horizontal="right" wrapText="1"/>
    </xf>
    <xf numFmtId="170" fontId="35" fillId="0" borderId="0" xfId="99" applyNumberFormat="1"/>
    <xf numFmtId="6" fontId="48" fillId="10" borderId="22" xfId="99" applyNumberFormat="1" applyFont="1" applyFill="1" applyBorder="1" applyAlignment="1">
      <alignment horizontal="right" wrapText="1"/>
    </xf>
    <xf numFmtId="8" fontId="35" fillId="0" borderId="0" xfId="99" applyNumberFormat="1"/>
    <xf numFmtId="10" fontId="35" fillId="0" borderId="0" xfId="99" applyNumberFormat="1"/>
    <xf numFmtId="0" fontId="46" fillId="0" borderId="23" xfId="99" applyFont="1" applyBorder="1" applyAlignment="1">
      <alignment wrapText="1"/>
    </xf>
    <xf numFmtId="6" fontId="48" fillId="0" borderId="23" xfId="99" applyNumberFormat="1" applyFont="1" applyBorder="1" applyAlignment="1">
      <alignment horizontal="right" wrapText="1"/>
    </xf>
    <xf numFmtId="6" fontId="48" fillId="0" borderId="5" xfId="99" applyNumberFormat="1" applyFont="1" applyBorder="1" applyAlignment="1">
      <alignment horizontal="right" wrapText="1"/>
    </xf>
    <xf numFmtId="6" fontId="48" fillId="0" borderId="2" xfId="99" applyNumberFormat="1" applyFont="1" applyBorder="1" applyAlignment="1">
      <alignment horizontal="right" wrapText="1"/>
    </xf>
    <xf numFmtId="170" fontId="35" fillId="0" borderId="0" xfId="96" applyNumberFormat="1" applyFont="1"/>
    <xf numFmtId="0" fontId="0" fillId="0" borderId="0" xfId="0" applyAlignment="1" applyProtection="1">
      <alignment horizontal="center"/>
      <protection locked="0"/>
    </xf>
    <xf numFmtId="0" fontId="1" fillId="0" borderId="0" xfId="0" applyFont="1" applyAlignment="1">
      <alignment wrapText="1"/>
    </xf>
    <xf numFmtId="0" fontId="50" fillId="0" borderId="0" xfId="0" applyFont="1" applyAlignment="1">
      <alignment wrapText="1"/>
    </xf>
    <xf numFmtId="0" fontId="14" fillId="0" borderId="0" xfId="0" applyFont="1" applyAlignment="1">
      <alignment horizontal="left"/>
    </xf>
    <xf numFmtId="0" fontId="53" fillId="0" borderId="0" xfId="0" applyFont="1"/>
    <xf numFmtId="0" fontId="1" fillId="0" borderId="0" xfId="0" applyFont="1" applyProtection="1">
      <protection hidden="1"/>
    </xf>
    <xf numFmtId="0" fontId="52" fillId="0" borderId="2" xfId="0" applyFont="1" applyBorder="1" applyAlignment="1" applyProtection="1">
      <alignment horizontal="center"/>
      <protection locked="0"/>
    </xf>
    <xf numFmtId="0" fontId="52" fillId="0" borderId="2" xfId="0" applyFont="1" applyBorder="1" applyAlignment="1" applyProtection="1">
      <alignment horizontal="center" wrapText="1"/>
      <protection locked="0"/>
    </xf>
    <xf numFmtId="0" fontId="0" fillId="0" borderId="2" xfId="0" applyBorder="1" applyProtection="1">
      <protection locked="0"/>
    </xf>
    <xf numFmtId="0" fontId="14" fillId="0" borderId="2" xfId="0" applyFont="1" applyBorder="1" applyProtection="1">
      <protection locked="0"/>
    </xf>
    <xf numFmtId="0" fontId="31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167" fontId="1" fillId="0" borderId="0" xfId="0" applyNumberFormat="1" applyFont="1" applyBorder="1" applyAlignment="1" applyProtection="1">
      <alignment horizontal="center"/>
      <protection locked="0"/>
    </xf>
    <xf numFmtId="0" fontId="24" fillId="0" borderId="0" xfId="0" applyFont="1" applyProtection="1">
      <protection locked="0" hidden="1"/>
    </xf>
    <xf numFmtId="170" fontId="45" fillId="0" borderId="0" xfId="96" applyNumberFormat="1" applyFont="1" applyAlignment="1">
      <alignment horizontal="center" vertical="center"/>
    </xf>
    <xf numFmtId="0" fontId="54" fillId="0" borderId="0" xfId="99" applyFont="1" applyAlignment="1" applyProtection="1">
      <alignment wrapText="1"/>
      <protection locked="0" hidden="1"/>
    </xf>
    <xf numFmtId="6" fontId="51" fillId="0" borderId="0" xfId="99" applyNumberFormat="1" applyFont="1" applyAlignment="1" applyProtection="1">
      <alignment horizontal="center" vertical="center" wrapText="1"/>
      <protection locked="0" hidden="1"/>
    </xf>
    <xf numFmtId="0" fontId="55" fillId="0" borderId="0" xfId="0" applyFont="1" applyProtection="1"/>
    <xf numFmtId="0" fontId="1" fillId="0" borderId="0" xfId="0" applyFont="1" applyAlignment="1" applyProtection="1">
      <protection locked="0"/>
    </xf>
    <xf numFmtId="0" fontId="36" fillId="0" borderId="10" xfId="99" applyFont="1" applyFill="1" applyBorder="1" applyAlignment="1">
      <alignment horizontal="center" vertical="top" wrapText="1"/>
    </xf>
    <xf numFmtId="0" fontId="36" fillId="0" borderId="10" xfId="99" applyFont="1" applyFill="1" applyBorder="1" applyAlignment="1">
      <alignment horizontal="center" wrapText="1"/>
    </xf>
    <xf numFmtId="2" fontId="37" fillId="0" borderId="10" xfId="99" applyNumberFormat="1" applyFont="1" applyFill="1" applyBorder="1" applyAlignment="1">
      <alignment horizontal="center" vertical="top" wrapText="1"/>
    </xf>
    <xf numFmtId="10" fontId="37" fillId="0" borderId="10" xfId="99" applyNumberFormat="1" applyFont="1" applyFill="1" applyBorder="1" applyAlignment="1">
      <alignment horizontal="center" vertical="top" wrapText="1"/>
    </xf>
    <xf numFmtId="4" fontId="37" fillId="0" borderId="10" xfId="99" applyNumberFormat="1" applyFont="1" applyFill="1" applyBorder="1" applyAlignment="1">
      <alignment horizontal="center" vertical="top" wrapText="1"/>
    </xf>
    <xf numFmtId="2" fontId="36" fillId="0" borderId="10" xfId="99" applyNumberFormat="1" applyFont="1" applyFill="1" applyBorder="1" applyAlignment="1">
      <alignment horizontal="center" vertical="top" wrapText="1"/>
    </xf>
    <xf numFmtId="10" fontId="36" fillId="0" borderId="10" xfId="99" applyNumberFormat="1" applyFont="1" applyFill="1" applyBorder="1" applyAlignment="1">
      <alignment horizontal="center" vertical="top" wrapText="1"/>
    </xf>
    <xf numFmtId="168" fontId="37" fillId="0" borderId="10" xfId="99" applyNumberFormat="1" applyFont="1" applyFill="1" applyBorder="1" applyAlignment="1">
      <alignment horizontal="center" vertical="top" wrapText="1"/>
    </xf>
    <xf numFmtId="169" fontId="36" fillId="0" borderId="10" xfId="99" applyNumberFormat="1" applyFont="1" applyFill="1" applyBorder="1" applyAlignment="1">
      <alignment horizontal="center" vertical="top" wrapText="1"/>
    </xf>
    <xf numFmtId="2" fontId="37" fillId="0" borderId="12" xfId="99" applyNumberFormat="1" applyFont="1" applyFill="1" applyBorder="1" applyAlignment="1">
      <alignment horizontal="center" vertical="top" wrapText="1"/>
    </xf>
    <xf numFmtId="0" fontId="37" fillId="0" borderId="12" xfId="99" applyFont="1" applyFill="1" applyBorder="1" applyAlignment="1">
      <alignment horizontal="center" vertical="top" wrapText="1"/>
    </xf>
    <xf numFmtId="0" fontId="37" fillId="0" borderId="12" xfId="99" applyFont="1" applyFill="1" applyBorder="1" applyAlignment="1">
      <alignment horizontal="center" wrapText="1"/>
    </xf>
    <xf numFmtId="10" fontId="37" fillId="0" borderId="12" xfId="99" applyNumberFormat="1" applyFont="1" applyFill="1" applyBorder="1" applyAlignment="1">
      <alignment horizontal="center" wrapText="1"/>
    </xf>
    <xf numFmtId="10" fontId="37" fillId="0" borderId="10" xfId="99" applyNumberFormat="1" applyFont="1" applyFill="1" applyBorder="1" applyAlignment="1">
      <alignment horizontal="center" wrapText="1"/>
    </xf>
    <xf numFmtId="4" fontId="37" fillId="0" borderId="10" xfId="99" applyNumberFormat="1" applyFont="1" applyFill="1" applyBorder="1" applyAlignment="1">
      <alignment horizontal="center"/>
    </xf>
    <xf numFmtId="0" fontId="37" fillId="0" borderId="13" xfId="99" applyFont="1" applyFill="1" applyBorder="1" applyAlignment="1">
      <alignment horizontal="center" vertical="top" wrapText="1"/>
    </xf>
    <xf numFmtId="0" fontId="37" fillId="0" borderId="14" xfId="99" applyFont="1" applyFill="1" applyBorder="1" applyAlignment="1">
      <alignment horizontal="center" wrapText="1"/>
    </xf>
    <xf numFmtId="0" fontId="37" fillId="0" borderId="10" xfId="99" applyFont="1" applyFill="1" applyBorder="1" applyAlignment="1">
      <alignment horizontal="center" vertical="top" wrapText="1"/>
    </xf>
    <xf numFmtId="170" fontId="37" fillId="0" borderId="12" xfId="99" applyNumberFormat="1" applyFont="1" applyFill="1" applyBorder="1" applyAlignment="1">
      <alignment horizontal="center" wrapText="1"/>
    </xf>
    <xf numFmtId="170" fontId="37" fillId="0" borderId="10" xfId="99" applyNumberFormat="1" applyFont="1" applyFill="1" applyBorder="1" applyAlignment="1">
      <alignment horizontal="center" wrapText="1"/>
    </xf>
    <xf numFmtId="170" fontId="37" fillId="0" borderId="10" xfId="99" applyNumberFormat="1" applyFont="1" applyFill="1" applyBorder="1" applyAlignment="1">
      <alignment horizontal="center" vertical="top" wrapText="1"/>
    </xf>
    <xf numFmtId="2" fontId="37" fillId="0" borderId="12" xfId="99" applyNumberFormat="1" applyFont="1" applyFill="1" applyBorder="1" applyAlignment="1">
      <alignment vertical="top" wrapText="1"/>
    </xf>
    <xf numFmtId="0" fontId="37" fillId="0" borderId="12" xfId="99" applyFont="1" applyFill="1" applyBorder="1" applyAlignment="1">
      <alignment vertical="top" wrapText="1"/>
    </xf>
    <xf numFmtId="170" fontId="37" fillId="0" borderId="0" xfId="99" applyNumberFormat="1" applyFont="1" applyFill="1"/>
    <xf numFmtId="2" fontId="37" fillId="0" borderId="0" xfId="99" applyNumberFormat="1" applyFont="1" applyFill="1" applyAlignment="1">
      <alignment horizontal="center" vertical="top" wrapText="1"/>
    </xf>
    <xf numFmtId="10" fontId="37" fillId="0" borderId="0" xfId="99" applyNumberFormat="1" applyFont="1" applyFill="1" applyAlignment="1">
      <alignment horizontal="center" vertical="top" wrapText="1"/>
    </xf>
    <xf numFmtId="4" fontId="37" fillId="0" borderId="0" xfId="99" applyNumberFormat="1" applyFont="1" applyFill="1" applyAlignment="1">
      <alignment horizontal="center" vertical="top" wrapText="1"/>
    </xf>
    <xf numFmtId="0" fontId="37" fillId="0" borderId="0" xfId="99" applyFont="1" applyFill="1" applyAlignment="1">
      <alignment horizontal="center" vertical="top" wrapText="1"/>
    </xf>
    <xf numFmtId="0" fontId="37" fillId="0" borderId="0" xfId="99" applyFont="1" applyFill="1"/>
    <xf numFmtId="2" fontId="37" fillId="0" borderId="0" xfId="99" applyNumberFormat="1" applyFont="1" applyFill="1"/>
    <xf numFmtId="1" fontId="18" fillId="5" borderId="2" xfId="0" applyNumberFormat="1" applyFont="1" applyFill="1" applyBorder="1" applyProtection="1"/>
    <xf numFmtId="167" fontId="0" fillId="6" borderId="2" xfId="0" applyNumberFormat="1" applyFill="1" applyBorder="1" applyProtection="1">
      <protection locked="0"/>
    </xf>
    <xf numFmtId="0" fontId="10" fillId="0" borderId="2" xfId="97" applyFill="1" applyBorder="1" applyAlignment="1">
      <alignment horizontal="center"/>
    </xf>
    <xf numFmtId="0" fontId="10" fillId="0" borderId="0" xfId="97" applyFill="1" applyAlignment="1">
      <alignment horizontal="center"/>
    </xf>
    <xf numFmtId="0" fontId="52" fillId="0" borderId="15" xfId="0" applyFont="1" applyBorder="1" applyAlignment="1" applyProtection="1">
      <alignment horizontal="left"/>
      <protection locked="0"/>
    </xf>
    <xf numFmtId="0" fontId="56" fillId="0" borderId="0" xfId="0" applyFont="1"/>
    <xf numFmtId="0" fontId="57" fillId="0" borderId="0" xfId="0" applyFont="1" applyProtection="1">
      <protection locked="0" hidden="1"/>
    </xf>
    <xf numFmtId="0" fontId="58" fillId="0" borderId="0" xfId="99" applyFont="1"/>
    <xf numFmtId="170" fontId="35" fillId="5" borderId="2" xfId="96" applyNumberFormat="1" applyFont="1" applyFill="1" applyBorder="1" applyProtection="1">
      <protection locked="0"/>
    </xf>
    <xf numFmtId="3" fontId="0" fillId="0" borderId="0" xfId="0" applyNumberFormat="1"/>
    <xf numFmtId="3" fontId="14" fillId="0" borderId="0" xfId="0" applyNumberFormat="1" applyFont="1"/>
    <xf numFmtId="3" fontId="0" fillId="5" borderId="0" xfId="0" applyNumberFormat="1" applyFill="1"/>
    <xf numFmtId="2" fontId="0" fillId="12" borderId="2" xfId="0" applyNumberFormat="1" applyFill="1" applyBorder="1" applyProtection="1">
      <protection locked="0"/>
    </xf>
    <xf numFmtId="0" fontId="24" fillId="0" borderId="0" xfId="0" applyFont="1"/>
    <xf numFmtId="167" fontId="0" fillId="4" borderId="1" xfId="0" applyNumberFormat="1" applyFill="1" applyBorder="1" applyAlignment="1" applyProtection="1">
      <alignment horizontal="center"/>
      <protection locked="0"/>
    </xf>
    <xf numFmtId="167" fontId="18" fillId="5" borderId="2" xfId="0" applyNumberFormat="1" applyFont="1" applyFill="1" applyBorder="1" applyAlignment="1" applyProtection="1">
      <alignment horizontal="center"/>
      <protection locked="0"/>
    </xf>
    <xf numFmtId="167" fontId="0" fillId="4" borderId="2" xfId="0" applyNumberFormat="1" applyFill="1" applyBorder="1" applyAlignment="1" applyProtection="1">
      <alignment horizontal="center"/>
      <protection locked="0"/>
    </xf>
    <xf numFmtId="167" fontId="0" fillId="4" borderId="2" xfId="0" applyNumberFormat="1" applyFont="1" applyFill="1" applyBorder="1" applyAlignment="1" applyProtection="1">
      <alignment horizontal="center"/>
      <protection locked="0"/>
    </xf>
    <xf numFmtId="167" fontId="1" fillId="0" borderId="2" xfId="0" applyNumberFormat="1" applyFont="1" applyBorder="1" applyAlignment="1" applyProtection="1">
      <alignment horizontal="center"/>
      <protection locked="0"/>
    </xf>
    <xf numFmtId="167" fontId="1" fillId="0" borderId="11" xfId="0" applyNumberFormat="1" applyFont="1" applyBorder="1" applyAlignment="1" applyProtection="1">
      <alignment horizontal="center"/>
      <protection locked="0" hidden="1"/>
    </xf>
    <xf numFmtId="167" fontId="0" fillId="11" borderId="11" xfId="0" applyNumberFormat="1" applyFill="1" applyBorder="1" applyAlignment="1" applyProtection="1">
      <alignment horizontal="center"/>
      <protection locked="0"/>
    </xf>
    <xf numFmtId="167" fontId="1" fillId="0" borderId="24" xfId="0" applyNumberFormat="1" applyFont="1" applyBorder="1" applyAlignment="1" applyProtection="1">
      <alignment horizontal="center"/>
      <protection locked="0"/>
    </xf>
    <xf numFmtId="167" fontId="41" fillId="5" borderId="2" xfId="0" applyNumberFormat="1" applyFont="1" applyFill="1" applyBorder="1" applyAlignment="1" applyProtection="1">
      <alignment horizontal="center"/>
      <protection locked="0"/>
    </xf>
    <xf numFmtId="167" fontId="0" fillId="0" borderId="24" xfId="0" applyNumberFormat="1" applyBorder="1" applyAlignment="1" applyProtection="1">
      <alignment horizontal="center"/>
      <protection locked="0"/>
    </xf>
    <xf numFmtId="167" fontId="14" fillId="0" borderId="2" xfId="0" applyNumberFormat="1" applyFont="1" applyBorder="1" applyAlignment="1" applyProtection="1">
      <alignment horizontal="center"/>
      <protection locked="0"/>
    </xf>
    <xf numFmtId="167" fontId="41" fillId="5" borderId="11" xfId="0" applyNumberFormat="1" applyFont="1" applyFill="1" applyBorder="1" applyAlignment="1" applyProtection="1">
      <alignment horizontal="center"/>
      <protection locked="0"/>
    </xf>
    <xf numFmtId="167" fontId="0" fillId="4" borderId="15" xfId="0" applyNumberFormat="1" applyFill="1" applyBorder="1" applyAlignment="1" applyProtection="1">
      <alignment horizontal="center"/>
      <protection locked="0"/>
    </xf>
    <xf numFmtId="49" fontId="0" fillId="3" borderId="1" xfId="0" applyNumberFormat="1" applyFill="1" applyBorder="1" applyProtection="1"/>
    <xf numFmtId="167" fontId="37" fillId="0" borderId="2" xfId="99" applyNumberFormat="1" applyFont="1" applyFill="1" applyBorder="1" applyAlignment="1">
      <alignment horizontal="center" vertical="top" wrapText="1"/>
    </xf>
    <xf numFmtId="167" fontId="37" fillId="0" borderId="0" xfId="99" applyNumberFormat="1" applyFont="1" applyFill="1" applyAlignment="1">
      <alignment horizontal="center" vertical="top" wrapText="1"/>
    </xf>
    <xf numFmtId="167" fontId="37" fillId="3" borderId="2" xfId="99" applyNumberFormat="1" applyFont="1" applyFill="1" applyBorder="1" applyAlignment="1">
      <alignment horizontal="center" vertical="top" wrapText="1"/>
    </xf>
    <xf numFmtId="1" fontId="37" fillId="0" borderId="2" xfId="99" applyNumberFormat="1" applyFont="1" applyFill="1" applyBorder="1" applyAlignment="1">
      <alignment horizontal="center" vertical="top" wrapText="1"/>
    </xf>
    <xf numFmtId="1" fontId="37" fillId="0" borderId="0" xfId="99" applyNumberFormat="1" applyFont="1" applyFill="1" applyAlignment="1">
      <alignment horizontal="center" vertical="top" wrapText="1"/>
    </xf>
    <xf numFmtId="6" fontId="49" fillId="3" borderId="2" xfId="99" applyNumberFormat="1" applyFont="1" applyFill="1" applyBorder="1"/>
    <xf numFmtId="0" fontId="60" fillId="0" borderId="0" xfId="0" applyFont="1" applyAlignment="1" applyProtection="1">
      <alignment horizontal="center" vertical="center"/>
    </xf>
    <xf numFmtId="171" fontId="2" fillId="0" borderId="0" xfId="0" applyNumberFormat="1" applyFont="1"/>
    <xf numFmtId="172" fontId="0" fillId="6" borderId="2" xfId="0" applyNumberFormat="1" applyFill="1" applyBorder="1" applyProtection="1">
      <protection locked="0"/>
    </xf>
    <xf numFmtId="173" fontId="0" fillId="6" borderId="2" xfId="95" applyNumberFormat="1" applyFont="1" applyFill="1" applyBorder="1" applyProtection="1">
      <protection locked="0"/>
    </xf>
    <xf numFmtId="170" fontId="0" fillId="6" borderId="2" xfId="96" applyNumberFormat="1" applyFont="1" applyFill="1" applyBorder="1" applyProtection="1">
      <protection locked="0"/>
    </xf>
    <xf numFmtId="10" fontId="10" fillId="3" borderId="2" xfId="96" applyNumberFormat="1" applyFont="1" applyFill="1" applyBorder="1" applyAlignment="1">
      <alignment horizontal="center"/>
    </xf>
    <xf numFmtId="0" fontId="11" fillId="0" borderId="0" xfId="0" applyFont="1" applyAlignment="1" applyProtection="1">
      <alignment horizontal="center" vertical="center" wrapText="1"/>
    </xf>
    <xf numFmtId="0" fontId="36" fillId="0" borderId="8" xfId="99" applyFont="1" applyFill="1" applyBorder="1" applyAlignment="1">
      <alignment horizontal="center" vertical="top" wrapText="1"/>
    </xf>
    <xf numFmtId="0" fontId="36" fillId="0" borderId="6" xfId="99" applyFont="1" applyFill="1" applyBorder="1" applyAlignment="1">
      <alignment horizontal="center" vertical="top" wrapText="1"/>
    </xf>
    <xf numFmtId="0" fontId="36" fillId="0" borderId="5" xfId="99" applyFont="1" applyFill="1" applyBorder="1" applyAlignment="1">
      <alignment horizontal="center" vertical="top" wrapText="1"/>
    </xf>
    <xf numFmtId="0" fontId="36" fillId="0" borderId="7" xfId="99" applyFont="1" applyFill="1" applyBorder="1" applyAlignment="1">
      <alignment horizontal="center" vertical="top" wrapText="1"/>
    </xf>
    <xf numFmtId="6" fontId="35" fillId="5" borderId="2" xfId="94" applyNumberFormat="1" applyFont="1" applyFill="1" applyBorder="1" applyProtection="1">
      <protection locked="0"/>
    </xf>
    <xf numFmtId="178" fontId="35" fillId="5" borderId="2" xfId="94" applyNumberFormat="1" applyFont="1" applyFill="1" applyBorder="1" applyProtection="1">
      <protection locked="0"/>
    </xf>
  </cellXfs>
  <cellStyles count="100">
    <cellStyle name="Comma" xfId="94" builtinId="3"/>
    <cellStyle name="Comma 2" xfId="92" xr:uid="{00000000-0005-0000-0000-000000000000}"/>
    <cellStyle name="Currency" xfId="95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8" builtinId="8"/>
    <cellStyle name="Normal" xfId="0" builtinId="0"/>
    <cellStyle name="Normal 2" xfId="91" xr:uid="{00000000-0005-0000-0000-00005C000000}"/>
    <cellStyle name="Normal 2 2" xfId="99" xr:uid="{746457DC-6C8B-48BC-BD18-6B9EC9B43F70}"/>
    <cellStyle name="Normal 2 2 2" xfId="97" xr:uid="{9FA4C97C-FB4B-4866-9086-0C5FE51F8508}"/>
    <cellStyle name="Percent" xfId="96" builtinId="5"/>
    <cellStyle name="Percent 2" xfId="93" xr:uid="{00000000-0005-0000-0000-00005D000000}"/>
  </cellStyles>
  <dxfs count="9"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theme="8"/>
      </font>
    </dxf>
    <dxf>
      <font>
        <b/>
        <i val="0"/>
        <color theme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Newspaper Revenue in Billions of Dollars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Revenue!$B$4</c:f>
              <c:strCache>
                <c:ptCount val="1"/>
                <c:pt idx="0">
                  <c:v>Retail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Revenue!$A$5:$A$30</c:f>
              <c:numCache>
                <c:formatCode>General</c:formatCode>
                <c:ptCount val="26"/>
                <c:pt idx="0">
                  <c:v>1985</c:v>
                </c:pt>
                <c:pt idx="1">
                  <c:v>1986</c:v>
                </c:pt>
                <c:pt idx="2">
                  <c:v>1987</c:v>
                </c:pt>
                <c:pt idx="3">
                  <c:v>1988</c:v>
                </c:pt>
                <c:pt idx="4">
                  <c:v>1989</c:v>
                </c:pt>
                <c:pt idx="5">
                  <c:v>1990</c:v>
                </c:pt>
                <c:pt idx="6">
                  <c:v>1991</c:v>
                </c:pt>
                <c:pt idx="7">
                  <c:v>1992</c:v>
                </c:pt>
                <c:pt idx="8">
                  <c:v>1993</c:v>
                </c:pt>
                <c:pt idx="9">
                  <c:v>1994</c:v>
                </c:pt>
                <c:pt idx="10">
                  <c:v>1995</c:v>
                </c:pt>
                <c:pt idx="11">
                  <c:v>1996</c:v>
                </c:pt>
                <c:pt idx="12">
                  <c:v>1997</c:v>
                </c:pt>
                <c:pt idx="13">
                  <c:v>1998</c:v>
                </c:pt>
                <c:pt idx="14">
                  <c:v>1999</c:v>
                </c:pt>
                <c:pt idx="15">
                  <c:v>2000</c:v>
                </c:pt>
                <c:pt idx="16">
                  <c:v>2001</c:v>
                </c:pt>
                <c:pt idx="17">
                  <c:v>2002</c:v>
                </c:pt>
                <c:pt idx="18">
                  <c:v>2003</c:v>
                </c:pt>
                <c:pt idx="19">
                  <c:v>2004</c:v>
                </c:pt>
                <c:pt idx="20">
                  <c:v>2005</c:v>
                </c:pt>
                <c:pt idx="21">
                  <c:v>2006</c:v>
                </c:pt>
                <c:pt idx="22">
                  <c:v>2007</c:v>
                </c:pt>
                <c:pt idx="23">
                  <c:v>2008</c:v>
                </c:pt>
                <c:pt idx="24">
                  <c:v>2009</c:v>
                </c:pt>
                <c:pt idx="25">
                  <c:v>2010</c:v>
                </c:pt>
              </c:numCache>
            </c:numRef>
          </c:xVal>
          <c:yVal>
            <c:numRef>
              <c:f>Revenue!$B$5:$B$30</c:f>
              <c:numCache>
                <c:formatCode>General</c:formatCode>
                <c:ptCount val="26"/>
                <c:pt idx="0">
                  <c:v>13.4</c:v>
                </c:pt>
                <c:pt idx="1">
                  <c:v>14.3</c:v>
                </c:pt>
                <c:pt idx="2">
                  <c:v>14.3</c:v>
                </c:pt>
                <c:pt idx="3">
                  <c:v>14.3</c:v>
                </c:pt>
                <c:pt idx="4">
                  <c:v>14.3</c:v>
                </c:pt>
                <c:pt idx="5">
                  <c:v>14.3</c:v>
                </c:pt>
                <c:pt idx="6">
                  <c:v>14.3</c:v>
                </c:pt>
                <c:pt idx="7">
                  <c:v>14.3</c:v>
                </c:pt>
                <c:pt idx="8">
                  <c:v>14.3</c:v>
                </c:pt>
                <c:pt idx="9">
                  <c:v>14.3</c:v>
                </c:pt>
                <c:pt idx="10">
                  <c:v>14.3</c:v>
                </c:pt>
                <c:pt idx="11">
                  <c:v>14.3</c:v>
                </c:pt>
                <c:pt idx="12">
                  <c:v>14.3</c:v>
                </c:pt>
                <c:pt idx="13">
                  <c:v>14.3</c:v>
                </c:pt>
                <c:pt idx="14">
                  <c:v>14.3</c:v>
                </c:pt>
                <c:pt idx="15">
                  <c:v>14.3</c:v>
                </c:pt>
                <c:pt idx="16">
                  <c:v>14.3</c:v>
                </c:pt>
                <c:pt idx="17">
                  <c:v>14.3</c:v>
                </c:pt>
                <c:pt idx="18">
                  <c:v>14.3</c:v>
                </c:pt>
                <c:pt idx="19">
                  <c:v>14.3</c:v>
                </c:pt>
                <c:pt idx="20">
                  <c:v>14.3</c:v>
                </c:pt>
                <c:pt idx="21">
                  <c:v>14.3</c:v>
                </c:pt>
                <c:pt idx="22">
                  <c:v>14.3</c:v>
                </c:pt>
                <c:pt idx="23">
                  <c:v>14.3</c:v>
                </c:pt>
                <c:pt idx="24">
                  <c:v>14.3</c:v>
                </c:pt>
                <c:pt idx="25">
                  <c:v>14.3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34-4952-816D-39944D8F3524}"/>
            </c:ext>
          </c:extLst>
        </c:ser>
        <c:ser>
          <c:idx val="1"/>
          <c:order val="1"/>
          <c:tx>
            <c:strRef>
              <c:f>Revenue!$C$4</c:f>
              <c:strCache>
                <c:ptCount val="1"/>
                <c:pt idx="0">
                  <c:v>National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Revenue!$A$5:$A$30</c:f>
              <c:numCache>
                <c:formatCode>General</c:formatCode>
                <c:ptCount val="26"/>
                <c:pt idx="0">
                  <c:v>1985</c:v>
                </c:pt>
                <c:pt idx="1">
                  <c:v>1986</c:v>
                </c:pt>
                <c:pt idx="2">
                  <c:v>1987</c:v>
                </c:pt>
                <c:pt idx="3">
                  <c:v>1988</c:v>
                </c:pt>
                <c:pt idx="4">
                  <c:v>1989</c:v>
                </c:pt>
                <c:pt idx="5">
                  <c:v>1990</c:v>
                </c:pt>
                <c:pt idx="6">
                  <c:v>1991</c:v>
                </c:pt>
                <c:pt idx="7">
                  <c:v>1992</c:v>
                </c:pt>
                <c:pt idx="8">
                  <c:v>1993</c:v>
                </c:pt>
                <c:pt idx="9">
                  <c:v>1994</c:v>
                </c:pt>
                <c:pt idx="10">
                  <c:v>1995</c:v>
                </c:pt>
                <c:pt idx="11">
                  <c:v>1996</c:v>
                </c:pt>
                <c:pt idx="12">
                  <c:v>1997</c:v>
                </c:pt>
                <c:pt idx="13">
                  <c:v>1998</c:v>
                </c:pt>
                <c:pt idx="14">
                  <c:v>1999</c:v>
                </c:pt>
                <c:pt idx="15">
                  <c:v>2000</c:v>
                </c:pt>
                <c:pt idx="16">
                  <c:v>2001</c:v>
                </c:pt>
                <c:pt idx="17">
                  <c:v>2002</c:v>
                </c:pt>
                <c:pt idx="18">
                  <c:v>2003</c:v>
                </c:pt>
                <c:pt idx="19">
                  <c:v>2004</c:v>
                </c:pt>
                <c:pt idx="20">
                  <c:v>2005</c:v>
                </c:pt>
                <c:pt idx="21">
                  <c:v>2006</c:v>
                </c:pt>
                <c:pt idx="22">
                  <c:v>2007</c:v>
                </c:pt>
                <c:pt idx="23">
                  <c:v>2008</c:v>
                </c:pt>
                <c:pt idx="24">
                  <c:v>2009</c:v>
                </c:pt>
                <c:pt idx="25">
                  <c:v>2010</c:v>
                </c:pt>
              </c:numCache>
            </c:numRef>
          </c:xVal>
          <c:yVal>
            <c:numRef>
              <c:f>Revenue!$C$5:$C$30</c:f>
              <c:numCache>
                <c:formatCode>General</c:formatCode>
                <c:ptCount val="26"/>
                <c:pt idx="0">
                  <c:v>3.4</c:v>
                </c:pt>
                <c:pt idx="1">
                  <c:v>3.4</c:v>
                </c:pt>
                <c:pt idx="2">
                  <c:v>3.5</c:v>
                </c:pt>
                <c:pt idx="3">
                  <c:v>3.8</c:v>
                </c:pt>
                <c:pt idx="4">
                  <c:v>3.9</c:v>
                </c:pt>
                <c:pt idx="5">
                  <c:v>4.0999999999999996</c:v>
                </c:pt>
                <c:pt idx="6">
                  <c:v>3.9</c:v>
                </c:pt>
                <c:pt idx="7">
                  <c:v>3.8</c:v>
                </c:pt>
                <c:pt idx="8">
                  <c:v>3.9</c:v>
                </c:pt>
                <c:pt idx="9">
                  <c:v>4.2</c:v>
                </c:pt>
                <c:pt idx="10">
                  <c:v>4.3</c:v>
                </c:pt>
                <c:pt idx="11">
                  <c:v>4.7</c:v>
                </c:pt>
                <c:pt idx="12">
                  <c:v>5.3</c:v>
                </c:pt>
                <c:pt idx="13">
                  <c:v>5.7</c:v>
                </c:pt>
                <c:pt idx="14">
                  <c:v>6.7</c:v>
                </c:pt>
                <c:pt idx="15">
                  <c:v>7.7</c:v>
                </c:pt>
                <c:pt idx="16">
                  <c:v>7</c:v>
                </c:pt>
                <c:pt idx="17">
                  <c:v>7.2</c:v>
                </c:pt>
                <c:pt idx="18">
                  <c:v>7.8</c:v>
                </c:pt>
                <c:pt idx="19">
                  <c:v>8.1</c:v>
                </c:pt>
                <c:pt idx="20">
                  <c:v>7.9</c:v>
                </c:pt>
                <c:pt idx="21">
                  <c:v>7.5</c:v>
                </c:pt>
                <c:pt idx="22">
                  <c:v>7</c:v>
                </c:pt>
                <c:pt idx="23">
                  <c:v>6</c:v>
                </c:pt>
                <c:pt idx="24">
                  <c:v>4.4000000000000004</c:v>
                </c:pt>
                <c:pt idx="25" formatCode="0.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34-4952-816D-39944D8F3524}"/>
            </c:ext>
          </c:extLst>
        </c:ser>
        <c:ser>
          <c:idx val="2"/>
          <c:order val="2"/>
          <c:tx>
            <c:strRef>
              <c:f>Revenue!$D$4</c:f>
              <c:strCache>
                <c:ptCount val="1"/>
                <c:pt idx="0">
                  <c:v>Classified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Revenue!$A$5:$A$30</c:f>
              <c:numCache>
                <c:formatCode>General</c:formatCode>
                <c:ptCount val="26"/>
                <c:pt idx="0">
                  <c:v>1985</c:v>
                </c:pt>
                <c:pt idx="1">
                  <c:v>1986</c:v>
                </c:pt>
                <c:pt idx="2">
                  <c:v>1987</c:v>
                </c:pt>
                <c:pt idx="3">
                  <c:v>1988</c:v>
                </c:pt>
                <c:pt idx="4">
                  <c:v>1989</c:v>
                </c:pt>
                <c:pt idx="5">
                  <c:v>1990</c:v>
                </c:pt>
                <c:pt idx="6">
                  <c:v>1991</c:v>
                </c:pt>
                <c:pt idx="7">
                  <c:v>1992</c:v>
                </c:pt>
                <c:pt idx="8">
                  <c:v>1993</c:v>
                </c:pt>
                <c:pt idx="9">
                  <c:v>1994</c:v>
                </c:pt>
                <c:pt idx="10">
                  <c:v>1995</c:v>
                </c:pt>
                <c:pt idx="11">
                  <c:v>1996</c:v>
                </c:pt>
                <c:pt idx="12">
                  <c:v>1997</c:v>
                </c:pt>
                <c:pt idx="13">
                  <c:v>1998</c:v>
                </c:pt>
                <c:pt idx="14">
                  <c:v>1999</c:v>
                </c:pt>
                <c:pt idx="15">
                  <c:v>2000</c:v>
                </c:pt>
                <c:pt idx="16">
                  <c:v>2001</c:v>
                </c:pt>
                <c:pt idx="17">
                  <c:v>2002</c:v>
                </c:pt>
                <c:pt idx="18">
                  <c:v>2003</c:v>
                </c:pt>
                <c:pt idx="19">
                  <c:v>2004</c:v>
                </c:pt>
                <c:pt idx="20">
                  <c:v>2005</c:v>
                </c:pt>
                <c:pt idx="21">
                  <c:v>2006</c:v>
                </c:pt>
                <c:pt idx="22">
                  <c:v>2007</c:v>
                </c:pt>
                <c:pt idx="23">
                  <c:v>2008</c:v>
                </c:pt>
                <c:pt idx="24">
                  <c:v>2009</c:v>
                </c:pt>
                <c:pt idx="25">
                  <c:v>2010</c:v>
                </c:pt>
              </c:numCache>
            </c:numRef>
          </c:xVal>
          <c:yVal>
            <c:numRef>
              <c:f>Revenue!$D$5:$D$30</c:f>
              <c:numCache>
                <c:formatCode>General</c:formatCode>
                <c:ptCount val="26"/>
                <c:pt idx="0">
                  <c:v>8.4</c:v>
                </c:pt>
                <c:pt idx="1">
                  <c:v>9.3000000000000007</c:v>
                </c:pt>
                <c:pt idx="2">
                  <c:v>10.7</c:v>
                </c:pt>
                <c:pt idx="3">
                  <c:v>11.6</c:v>
                </c:pt>
                <c:pt idx="4">
                  <c:v>11.9</c:v>
                </c:pt>
                <c:pt idx="5">
                  <c:v>11.5</c:v>
                </c:pt>
                <c:pt idx="6">
                  <c:v>10.6</c:v>
                </c:pt>
                <c:pt idx="7">
                  <c:v>10.8</c:v>
                </c:pt>
                <c:pt idx="8">
                  <c:v>11.2</c:v>
                </c:pt>
                <c:pt idx="9">
                  <c:v>12.5</c:v>
                </c:pt>
                <c:pt idx="10">
                  <c:v>13.7</c:v>
                </c:pt>
                <c:pt idx="11">
                  <c:v>15.1</c:v>
                </c:pt>
                <c:pt idx="12">
                  <c:v>16.8</c:v>
                </c:pt>
                <c:pt idx="13">
                  <c:v>17.899999999999999</c:v>
                </c:pt>
                <c:pt idx="14">
                  <c:v>18.7</c:v>
                </c:pt>
                <c:pt idx="15">
                  <c:v>19.600000000000001</c:v>
                </c:pt>
                <c:pt idx="16">
                  <c:v>16.600000000000001</c:v>
                </c:pt>
                <c:pt idx="17">
                  <c:v>15.9</c:v>
                </c:pt>
                <c:pt idx="18">
                  <c:v>15.8</c:v>
                </c:pt>
                <c:pt idx="19">
                  <c:v>16.600000000000001</c:v>
                </c:pt>
                <c:pt idx="20">
                  <c:v>17.3</c:v>
                </c:pt>
                <c:pt idx="21">
                  <c:v>17</c:v>
                </c:pt>
                <c:pt idx="22">
                  <c:v>14.2</c:v>
                </c:pt>
                <c:pt idx="23">
                  <c:v>10</c:v>
                </c:pt>
                <c:pt idx="24">
                  <c:v>6.2</c:v>
                </c:pt>
                <c:pt idx="25" formatCode="0.0">
                  <c:v>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34-4952-816D-39944D8F3524}"/>
            </c:ext>
          </c:extLst>
        </c:ser>
        <c:ser>
          <c:idx val="3"/>
          <c:order val="3"/>
          <c:tx>
            <c:strRef>
              <c:f>Revenue!$E$4</c:f>
              <c:strCache>
                <c:ptCount val="1"/>
                <c:pt idx="0">
                  <c:v>Print Total in Billions of Dollars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Revenue!$A$5:$A$30</c:f>
              <c:numCache>
                <c:formatCode>General</c:formatCode>
                <c:ptCount val="26"/>
                <c:pt idx="0">
                  <c:v>1985</c:v>
                </c:pt>
                <c:pt idx="1">
                  <c:v>1986</c:v>
                </c:pt>
                <c:pt idx="2">
                  <c:v>1987</c:v>
                </c:pt>
                <c:pt idx="3">
                  <c:v>1988</c:v>
                </c:pt>
                <c:pt idx="4">
                  <c:v>1989</c:v>
                </c:pt>
                <c:pt idx="5">
                  <c:v>1990</c:v>
                </c:pt>
                <c:pt idx="6">
                  <c:v>1991</c:v>
                </c:pt>
                <c:pt idx="7">
                  <c:v>1992</c:v>
                </c:pt>
                <c:pt idx="8">
                  <c:v>1993</c:v>
                </c:pt>
                <c:pt idx="9">
                  <c:v>1994</c:v>
                </c:pt>
                <c:pt idx="10">
                  <c:v>1995</c:v>
                </c:pt>
                <c:pt idx="11">
                  <c:v>1996</c:v>
                </c:pt>
                <c:pt idx="12">
                  <c:v>1997</c:v>
                </c:pt>
                <c:pt idx="13">
                  <c:v>1998</c:v>
                </c:pt>
                <c:pt idx="14">
                  <c:v>1999</c:v>
                </c:pt>
                <c:pt idx="15">
                  <c:v>2000</c:v>
                </c:pt>
                <c:pt idx="16">
                  <c:v>2001</c:v>
                </c:pt>
                <c:pt idx="17">
                  <c:v>2002</c:v>
                </c:pt>
                <c:pt idx="18">
                  <c:v>2003</c:v>
                </c:pt>
                <c:pt idx="19">
                  <c:v>2004</c:v>
                </c:pt>
                <c:pt idx="20">
                  <c:v>2005</c:v>
                </c:pt>
                <c:pt idx="21">
                  <c:v>2006</c:v>
                </c:pt>
                <c:pt idx="22">
                  <c:v>2007</c:v>
                </c:pt>
                <c:pt idx="23">
                  <c:v>2008</c:v>
                </c:pt>
                <c:pt idx="24">
                  <c:v>2009</c:v>
                </c:pt>
                <c:pt idx="25">
                  <c:v>2010</c:v>
                </c:pt>
              </c:numCache>
            </c:numRef>
          </c:xVal>
          <c:yVal>
            <c:numRef>
              <c:f>Revenue!$E$5:$E$30</c:f>
              <c:numCache>
                <c:formatCode>General</c:formatCode>
                <c:ptCount val="26"/>
                <c:pt idx="0">
                  <c:v>25.2</c:v>
                </c:pt>
                <c:pt idx="1">
                  <c:v>27</c:v>
                </c:pt>
                <c:pt idx="2">
                  <c:v>29.4</c:v>
                </c:pt>
                <c:pt idx="3">
                  <c:v>31.2</c:v>
                </c:pt>
                <c:pt idx="4">
                  <c:v>32.4</c:v>
                </c:pt>
                <c:pt idx="5">
                  <c:v>32.299999999999997</c:v>
                </c:pt>
                <c:pt idx="6">
                  <c:v>30.3</c:v>
                </c:pt>
                <c:pt idx="7">
                  <c:v>30.6</c:v>
                </c:pt>
                <c:pt idx="8">
                  <c:v>31.9</c:v>
                </c:pt>
                <c:pt idx="9">
                  <c:v>34.200000000000003</c:v>
                </c:pt>
                <c:pt idx="10">
                  <c:v>36.1</c:v>
                </c:pt>
                <c:pt idx="11">
                  <c:v>38.1</c:v>
                </c:pt>
                <c:pt idx="12">
                  <c:v>41.3</c:v>
                </c:pt>
                <c:pt idx="13">
                  <c:v>43.9</c:v>
                </c:pt>
                <c:pt idx="14">
                  <c:v>46.3</c:v>
                </c:pt>
                <c:pt idx="15">
                  <c:v>48.7</c:v>
                </c:pt>
                <c:pt idx="16">
                  <c:v>44.3</c:v>
                </c:pt>
                <c:pt idx="17">
                  <c:v>44.1</c:v>
                </c:pt>
                <c:pt idx="18">
                  <c:v>44.9</c:v>
                </c:pt>
                <c:pt idx="19">
                  <c:v>46.7</c:v>
                </c:pt>
                <c:pt idx="20">
                  <c:v>47.4</c:v>
                </c:pt>
                <c:pt idx="21">
                  <c:v>46.6</c:v>
                </c:pt>
                <c:pt idx="22">
                  <c:v>42.2</c:v>
                </c:pt>
                <c:pt idx="23">
                  <c:v>34.700000000000003</c:v>
                </c:pt>
                <c:pt idx="24">
                  <c:v>24.8</c:v>
                </c:pt>
                <c:pt idx="25" formatCode="0.0">
                  <c:v>22.795000000000002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34-4952-816D-39944D8F3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396319"/>
        <c:axId val="551396735"/>
      </c:scatterChart>
      <c:valAx>
        <c:axId val="55139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96735"/>
        <c:crosses val="autoZero"/>
        <c:crossBetween val="midCat"/>
      </c:valAx>
      <c:valAx>
        <c:axId val="55139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396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Circ2!$B$2</c:f>
              <c:strCache>
                <c:ptCount val="1"/>
                <c:pt idx="0">
                  <c:v>Advertising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Circ2!$A$3:$A$77</c:f>
              <c:numCache>
                <c:formatCode>General</c:formatCode>
                <c:ptCount val="75"/>
                <c:pt idx="0">
                  <c:v>1940</c:v>
                </c:pt>
                <c:pt idx="1">
                  <c:v>1945</c:v>
                </c:pt>
                <c:pt idx="2">
                  <c:v>1946</c:v>
                </c:pt>
                <c:pt idx="3">
                  <c:v>1947</c:v>
                </c:pt>
                <c:pt idx="4">
                  <c:v>1948</c:v>
                </c:pt>
                <c:pt idx="5">
                  <c:v>1949</c:v>
                </c:pt>
                <c:pt idx="6">
                  <c:v>1950</c:v>
                </c:pt>
                <c:pt idx="7">
                  <c:v>1951</c:v>
                </c:pt>
                <c:pt idx="8">
                  <c:v>1952</c:v>
                </c:pt>
                <c:pt idx="9">
                  <c:v>1953</c:v>
                </c:pt>
                <c:pt idx="10">
                  <c:v>1954</c:v>
                </c:pt>
                <c:pt idx="11">
                  <c:v>1955</c:v>
                </c:pt>
                <c:pt idx="12">
                  <c:v>1956</c:v>
                </c:pt>
                <c:pt idx="13">
                  <c:v>1957</c:v>
                </c:pt>
                <c:pt idx="14">
                  <c:v>1958</c:v>
                </c:pt>
                <c:pt idx="15">
                  <c:v>1959</c:v>
                </c:pt>
                <c:pt idx="16">
                  <c:v>1960</c:v>
                </c:pt>
                <c:pt idx="17">
                  <c:v>1961</c:v>
                </c:pt>
                <c:pt idx="18">
                  <c:v>1962</c:v>
                </c:pt>
                <c:pt idx="19">
                  <c:v>1963</c:v>
                </c:pt>
                <c:pt idx="20">
                  <c:v>1964</c:v>
                </c:pt>
                <c:pt idx="21">
                  <c:v>1965</c:v>
                </c:pt>
                <c:pt idx="22">
                  <c:v>1966</c:v>
                </c:pt>
                <c:pt idx="23">
                  <c:v>1967</c:v>
                </c:pt>
                <c:pt idx="24">
                  <c:v>1968</c:v>
                </c:pt>
                <c:pt idx="25">
                  <c:v>1969</c:v>
                </c:pt>
                <c:pt idx="26">
                  <c:v>1970</c:v>
                </c:pt>
                <c:pt idx="27">
                  <c:v>1971</c:v>
                </c:pt>
                <c:pt idx="28">
                  <c:v>1972</c:v>
                </c:pt>
                <c:pt idx="29">
                  <c:v>1973</c:v>
                </c:pt>
                <c:pt idx="30">
                  <c:v>1974</c:v>
                </c:pt>
                <c:pt idx="31">
                  <c:v>1975</c:v>
                </c:pt>
                <c:pt idx="32">
                  <c:v>1976</c:v>
                </c:pt>
                <c:pt idx="33">
                  <c:v>1977</c:v>
                </c:pt>
                <c:pt idx="34">
                  <c:v>1978</c:v>
                </c:pt>
                <c:pt idx="35">
                  <c:v>1979</c:v>
                </c:pt>
                <c:pt idx="36">
                  <c:v>1980</c:v>
                </c:pt>
                <c:pt idx="37">
                  <c:v>1981</c:v>
                </c:pt>
                <c:pt idx="38">
                  <c:v>1982</c:v>
                </c:pt>
                <c:pt idx="39">
                  <c:v>1983</c:v>
                </c:pt>
                <c:pt idx="40">
                  <c:v>1984</c:v>
                </c:pt>
                <c:pt idx="41">
                  <c:v>1985</c:v>
                </c:pt>
                <c:pt idx="42">
                  <c:v>1986</c:v>
                </c:pt>
                <c:pt idx="43">
                  <c:v>1987</c:v>
                </c:pt>
                <c:pt idx="44">
                  <c:v>1988</c:v>
                </c:pt>
                <c:pt idx="45">
                  <c:v>1989</c:v>
                </c:pt>
                <c:pt idx="46">
                  <c:v>1990</c:v>
                </c:pt>
                <c:pt idx="47">
                  <c:v>1991</c:v>
                </c:pt>
                <c:pt idx="48">
                  <c:v>1992</c:v>
                </c:pt>
                <c:pt idx="49">
                  <c:v>1993</c:v>
                </c:pt>
                <c:pt idx="50">
                  <c:v>1994</c:v>
                </c:pt>
                <c:pt idx="51">
                  <c:v>1995</c:v>
                </c:pt>
                <c:pt idx="52">
                  <c:v>1996</c:v>
                </c:pt>
                <c:pt idx="53">
                  <c:v>1997</c:v>
                </c:pt>
                <c:pt idx="54">
                  <c:v>1998</c:v>
                </c:pt>
                <c:pt idx="55">
                  <c:v>1999</c:v>
                </c:pt>
                <c:pt idx="56">
                  <c:v>2000</c:v>
                </c:pt>
                <c:pt idx="57">
                  <c:v>2001</c:v>
                </c:pt>
                <c:pt idx="58">
                  <c:v>2002</c:v>
                </c:pt>
                <c:pt idx="59">
                  <c:v>2003</c:v>
                </c:pt>
                <c:pt idx="60">
                  <c:v>2004</c:v>
                </c:pt>
                <c:pt idx="61">
                  <c:v>2005</c:v>
                </c:pt>
                <c:pt idx="62">
                  <c:v>2006</c:v>
                </c:pt>
                <c:pt idx="63">
                  <c:v>2007</c:v>
                </c:pt>
                <c:pt idx="64">
                  <c:v>2008</c:v>
                </c:pt>
                <c:pt idx="65">
                  <c:v>2009</c:v>
                </c:pt>
                <c:pt idx="66">
                  <c:v>2010</c:v>
                </c:pt>
                <c:pt idx="67">
                  <c:v>2011</c:v>
                </c:pt>
                <c:pt idx="68">
                  <c:v>2012</c:v>
                </c:pt>
                <c:pt idx="69">
                  <c:v>2013</c:v>
                </c:pt>
                <c:pt idx="70">
                  <c:v>2014</c:v>
                </c:pt>
                <c:pt idx="71">
                  <c:v>2015</c:v>
                </c:pt>
                <c:pt idx="72">
                  <c:v>2016</c:v>
                </c:pt>
                <c:pt idx="73">
                  <c:v>2017</c:v>
                </c:pt>
                <c:pt idx="74">
                  <c:v>2018</c:v>
                </c:pt>
              </c:numCache>
            </c:numRef>
          </c:xVal>
          <c:yVal>
            <c:numRef>
              <c:f>Circ2!$B$3:$B$77</c:f>
              <c:numCache>
                <c:formatCode>#,##0</c:formatCode>
                <c:ptCount val="75"/>
                <c:pt idx="0">
                  <c:v>41132000</c:v>
                </c:pt>
                <c:pt idx="1">
                  <c:v>48384000</c:v>
                </c:pt>
                <c:pt idx="2">
                  <c:v>50928000</c:v>
                </c:pt>
                <c:pt idx="3">
                  <c:v>51673000</c:v>
                </c:pt>
                <c:pt idx="4">
                  <c:v>52285000</c:v>
                </c:pt>
                <c:pt idx="5">
                  <c:v>52846000</c:v>
                </c:pt>
                <c:pt idx="6">
                  <c:v>53829000</c:v>
                </c:pt>
                <c:pt idx="7">
                  <c:v>54018000</c:v>
                </c:pt>
                <c:pt idx="8">
                  <c:v>53951000</c:v>
                </c:pt>
                <c:pt idx="9">
                  <c:v>54472000</c:v>
                </c:pt>
                <c:pt idx="10">
                  <c:v>55072000</c:v>
                </c:pt>
                <c:pt idx="11">
                  <c:v>56147000</c:v>
                </c:pt>
                <c:pt idx="12">
                  <c:v>57102000</c:v>
                </c:pt>
                <c:pt idx="13">
                  <c:v>57805000</c:v>
                </c:pt>
                <c:pt idx="14">
                  <c:v>57418000</c:v>
                </c:pt>
                <c:pt idx="15">
                  <c:v>58300000</c:v>
                </c:pt>
                <c:pt idx="16">
                  <c:v>58882000</c:v>
                </c:pt>
                <c:pt idx="17">
                  <c:v>59261000</c:v>
                </c:pt>
                <c:pt idx="18">
                  <c:v>59849000</c:v>
                </c:pt>
                <c:pt idx="19">
                  <c:v>58905000</c:v>
                </c:pt>
                <c:pt idx="20">
                  <c:v>60412000</c:v>
                </c:pt>
                <c:pt idx="21">
                  <c:v>60358000</c:v>
                </c:pt>
                <c:pt idx="22">
                  <c:v>61397000</c:v>
                </c:pt>
                <c:pt idx="23">
                  <c:v>61561000</c:v>
                </c:pt>
                <c:pt idx="24">
                  <c:v>62535000</c:v>
                </c:pt>
                <c:pt idx="25">
                  <c:v>62060000</c:v>
                </c:pt>
                <c:pt idx="26">
                  <c:v>62108000</c:v>
                </c:pt>
                <c:pt idx="27">
                  <c:v>62231000</c:v>
                </c:pt>
                <c:pt idx="28">
                  <c:v>62510000</c:v>
                </c:pt>
                <c:pt idx="29">
                  <c:v>63147000</c:v>
                </c:pt>
                <c:pt idx="30">
                  <c:v>61877000</c:v>
                </c:pt>
                <c:pt idx="31">
                  <c:v>60655000</c:v>
                </c:pt>
                <c:pt idx="32">
                  <c:v>60977000</c:v>
                </c:pt>
                <c:pt idx="33">
                  <c:v>61495000</c:v>
                </c:pt>
                <c:pt idx="34">
                  <c:v>61990000</c:v>
                </c:pt>
                <c:pt idx="35">
                  <c:v>62223000</c:v>
                </c:pt>
                <c:pt idx="36">
                  <c:v>62202000</c:v>
                </c:pt>
                <c:pt idx="37">
                  <c:v>61431000</c:v>
                </c:pt>
                <c:pt idx="38">
                  <c:v>62487000</c:v>
                </c:pt>
                <c:pt idx="39">
                  <c:v>62645000</c:v>
                </c:pt>
                <c:pt idx="40">
                  <c:v>63340000</c:v>
                </c:pt>
                <c:pt idx="41">
                  <c:v>62766000</c:v>
                </c:pt>
                <c:pt idx="42">
                  <c:v>62502000</c:v>
                </c:pt>
                <c:pt idx="43">
                  <c:v>62826000</c:v>
                </c:pt>
                <c:pt idx="44">
                  <c:v>62695000</c:v>
                </c:pt>
                <c:pt idx="45">
                  <c:v>62649000</c:v>
                </c:pt>
                <c:pt idx="46">
                  <c:v>62328000</c:v>
                </c:pt>
                <c:pt idx="47">
                  <c:v>60687000</c:v>
                </c:pt>
                <c:pt idx="48">
                  <c:v>60164000</c:v>
                </c:pt>
                <c:pt idx="49">
                  <c:v>59812000</c:v>
                </c:pt>
                <c:pt idx="50">
                  <c:v>59305000</c:v>
                </c:pt>
                <c:pt idx="51">
                  <c:v>58193000</c:v>
                </c:pt>
                <c:pt idx="52">
                  <c:v>56983000</c:v>
                </c:pt>
                <c:pt idx="53">
                  <c:v>56728000</c:v>
                </c:pt>
                <c:pt idx="54">
                  <c:v>56182000</c:v>
                </c:pt>
                <c:pt idx="55">
                  <c:v>55979000</c:v>
                </c:pt>
                <c:pt idx="56">
                  <c:v>55773000</c:v>
                </c:pt>
                <c:pt idx="57">
                  <c:v>55578000</c:v>
                </c:pt>
                <c:pt idx="58">
                  <c:v>55186000</c:v>
                </c:pt>
                <c:pt idx="59">
                  <c:v>55185000</c:v>
                </c:pt>
                <c:pt idx="60">
                  <c:v>54626000</c:v>
                </c:pt>
                <c:pt idx="61">
                  <c:v>53345000</c:v>
                </c:pt>
                <c:pt idx="62">
                  <c:v>52329000</c:v>
                </c:pt>
                <c:pt idx="63">
                  <c:v>50742000</c:v>
                </c:pt>
                <c:pt idx="64">
                  <c:v>48597000</c:v>
                </c:pt>
                <c:pt idx="65">
                  <c:v>45653000</c:v>
                </c:pt>
                <c:pt idx="66">
                  <c:v>45037000</c:v>
                </c:pt>
                <c:pt idx="67">
                  <c:v>44421000</c:v>
                </c:pt>
                <c:pt idx="68">
                  <c:v>43433000</c:v>
                </c:pt>
                <c:pt idx="69">
                  <c:v>40712000</c:v>
                </c:pt>
                <c:pt idx="70">
                  <c:v>40420000</c:v>
                </c:pt>
                <c:pt idx="71">
                  <c:v>37711860</c:v>
                </c:pt>
                <c:pt idx="72">
                  <c:v>34657199</c:v>
                </c:pt>
                <c:pt idx="73">
                  <c:v>30948419</c:v>
                </c:pt>
                <c:pt idx="74">
                  <c:v>28554137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22-490A-A4F0-8D1ED736720D}"/>
            </c:ext>
          </c:extLst>
        </c:ser>
        <c:ser>
          <c:idx val="1"/>
          <c:order val="1"/>
          <c:tx>
            <c:strRef>
              <c:f>Circ2!$C$2</c:f>
              <c:strCache>
                <c:ptCount val="1"/>
                <c:pt idx="0">
                  <c:v>Circulation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Circ2!$A$3:$A$77</c:f>
              <c:numCache>
                <c:formatCode>General</c:formatCode>
                <c:ptCount val="75"/>
                <c:pt idx="0">
                  <c:v>1940</c:v>
                </c:pt>
                <c:pt idx="1">
                  <c:v>1945</c:v>
                </c:pt>
                <c:pt idx="2">
                  <c:v>1946</c:v>
                </c:pt>
                <c:pt idx="3">
                  <c:v>1947</c:v>
                </c:pt>
                <c:pt idx="4">
                  <c:v>1948</c:v>
                </c:pt>
                <c:pt idx="5">
                  <c:v>1949</c:v>
                </c:pt>
                <c:pt idx="6">
                  <c:v>1950</c:v>
                </c:pt>
                <c:pt idx="7">
                  <c:v>1951</c:v>
                </c:pt>
                <c:pt idx="8">
                  <c:v>1952</c:v>
                </c:pt>
                <c:pt idx="9">
                  <c:v>1953</c:v>
                </c:pt>
                <c:pt idx="10">
                  <c:v>1954</c:v>
                </c:pt>
                <c:pt idx="11">
                  <c:v>1955</c:v>
                </c:pt>
                <c:pt idx="12">
                  <c:v>1956</c:v>
                </c:pt>
                <c:pt idx="13">
                  <c:v>1957</c:v>
                </c:pt>
                <c:pt idx="14">
                  <c:v>1958</c:v>
                </c:pt>
                <c:pt idx="15">
                  <c:v>1959</c:v>
                </c:pt>
                <c:pt idx="16">
                  <c:v>1960</c:v>
                </c:pt>
                <c:pt idx="17">
                  <c:v>1961</c:v>
                </c:pt>
                <c:pt idx="18">
                  <c:v>1962</c:v>
                </c:pt>
                <c:pt idx="19">
                  <c:v>1963</c:v>
                </c:pt>
                <c:pt idx="20">
                  <c:v>1964</c:v>
                </c:pt>
                <c:pt idx="21">
                  <c:v>1965</c:v>
                </c:pt>
                <c:pt idx="22">
                  <c:v>1966</c:v>
                </c:pt>
                <c:pt idx="23">
                  <c:v>1967</c:v>
                </c:pt>
                <c:pt idx="24">
                  <c:v>1968</c:v>
                </c:pt>
                <c:pt idx="25">
                  <c:v>1969</c:v>
                </c:pt>
                <c:pt idx="26">
                  <c:v>1970</c:v>
                </c:pt>
                <c:pt idx="27">
                  <c:v>1971</c:v>
                </c:pt>
                <c:pt idx="28">
                  <c:v>1972</c:v>
                </c:pt>
                <c:pt idx="29">
                  <c:v>1973</c:v>
                </c:pt>
                <c:pt idx="30">
                  <c:v>1974</c:v>
                </c:pt>
                <c:pt idx="31">
                  <c:v>1975</c:v>
                </c:pt>
                <c:pt idx="32">
                  <c:v>1976</c:v>
                </c:pt>
                <c:pt idx="33">
                  <c:v>1977</c:v>
                </c:pt>
                <c:pt idx="34">
                  <c:v>1978</c:v>
                </c:pt>
                <c:pt idx="35">
                  <c:v>1979</c:v>
                </c:pt>
                <c:pt idx="36">
                  <c:v>1980</c:v>
                </c:pt>
                <c:pt idx="37">
                  <c:v>1981</c:v>
                </c:pt>
                <c:pt idx="38">
                  <c:v>1982</c:v>
                </c:pt>
                <c:pt idx="39">
                  <c:v>1983</c:v>
                </c:pt>
                <c:pt idx="40">
                  <c:v>1984</c:v>
                </c:pt>
                <c:pt idx="41">
                  <c:v>1985</c:v>
                </c:pt>
                <c:pt idx="42">
                  <c:v>1986</c:v>
                </c:pt>
                <c:pt idx="43">
                  <c:v>1987</c:v>
                </c:pt>
                <c:pt idx="44">
                  <c:v>1988</c:v>
                </c:pt>
                <c:pt idx="45">
                  <c:v>1989</c:v>
                </c:pt>
                <c:pt idx="46">
                  <c:v>1990</c:v>
                </c:pt>
                <c:pt idx="47">
                  <c:v>1991</c:v>
                </c:pt>
                <c:pt idx="48">
                  <c:v>1992</c:v>
                </c:pt>
                <c:pt idx="49">
                  <c:v>1993</c:v>
                </c:pt>
                <c:pt idx="50">
                  <c:v>1994</c:v>
                </c:pt>
                <c:pt idx="51">
                  <c:v>1995</c:v>
                </c:pt>
                <c:pt idx="52">
                  <c:v>1996</c:v>
                </c:pt>
                <c:pt idx="53">
                  <c:v>1997</c:v>
                </c:pt>
                <c:pt idx="54">
                  <c:v>1998</c:v>
                </c:pt>
                <c:pt idx="55">
                  <c:v>1999</c:v>
                </c:pt>
                <c:pt idx="56">
                  <c:v>2000</c:v>
                </c:pt>
                <c:pt idx="57">
                  <c:v>2001</c:v>
                </c:pt>
                <c:pt idx="58">
                  <c:v>2002</c:v>
                </c:pt>
                <c:pt idx="59">
                  <c:v>2003</c:v>
                </c:pt>
                <c:pt idx="60">
                  <c:v>2004</c:v>
                </c:pt>
                <c:pt idx="61">
                  <c:v>2005</c:v>
                </c:pt>
                <c:pt idx="62">
                  <c:v>2006</c:v>
                </c:pt>
                <c:pt idx="63">
                  <c:v>2007</c:v>
                </c:pt>
                <c:pt idx="64">
                  <c:v>2008</c:v>
                </c:pt>
                <c:pt idx="65">
                  <c:v>2009</c:v>
                </c:pt>
                <c:pt idx="66">
                  <c:v>2010</c:v>
                </c:pt>
                <c:pt idx="67">
                  <c:v>2011</c:v>
                </c:pt>
                <c:pt idx="68">
                  <c:v>2012</c:v>
                </c:pt>
                <c:pt idx="69">
                  <c:v>2013</c:v>
                </c:pt>
                <c:pt idx="70">
                  <c:v>2014</c:v>
                </c:pt>
                <c:pt idx="71">
                  <c:v>2015</c:v>
                </c:pt>
                <c:pt idx="72">
                  <c:v>2016</c:v>
                </c:pt>
                <c:pt idx="73">
                  <c:v>2017</c:v>
                </c:pt>
                <c:pt idx="74">
                  <c:v>2018</c:v>
                </c:pt>
              </c:numCache>
            </c:numRef>
          </c:xVal>
          <c:yVal>
            <c:numRef>
              <c:f>Circ2!$C$3:$C$77</c:f>
              <c:numCache>
                <c:formatCode>#,##0</c:formatCode>
                <c:ptCount val="75"/>
                <c:pt idx="0">
                  <c:v>32371000</c:v>
                </c:pt>
                <c:pt idx="1">
                  <c:v>39860000</c:v>
                </c:pt>
                <c:pt idx="2">
                  <c:v>43665000</c:v>
                </c:pt>
                <c:pt idx="3">
                  <c:v>45151000</c:v>
                </c:pt>
                <c:pt idx="4">
                  <c:v>46308000</c:v>
                </c:pt>
                <c:pt idx="5">
                  <c:v>46399000</c:v>
                </c:pt>
                <c:pt idx="6">
                  <c:v>46582000</c:v>
                </c:pt>
                <c:pt idx="7">
                  <c:v>46279000</c:v>
                </c:pt>
                <c:pt idx="8">
                  <c:v>46210000</c:v>
                </c:pt>
                <c:pt idx="9">
                  <c:v>45949000</c:v>
                </c:pt>
                <c:pt idx="10">
                  <c:v>46176000</c:v>
                </c:pt>
                <c:pt idx="11">
                  <c:v>46448000</c:v>
                </c:pt>
                <c:pt idx="12">
                  <c:v>47162000</c:v>
                </c:pt>
                <c:pt idx="13">
                  <c:v>47044000</c:v>
                </c:pt>
                <c:pt idx="14">
                  <c:v>46955000</c:v>
                </c:pt>
                <c:pt idx="15">
                  <c:v>47848000</c:v>
                </c:pt>
                <c:pt idx="16">
                  <c:v>47699000</c:v>
                </c:pt>
                <c:pt idx="17">
                  <c:v>48216000</c:v>
                </c:pt>
                <c:pt idx="18">
                  <c:v>48888000</c:v>
                </c:pt>
                <c:pt idx="19">
                  <c:v>46830000</c:v>
                </c:pt>
                <c:pt idx="20">
                  <c:v>48383000</c:v>
                </c:pt>
                <c:pt idx="21">
                  <c:v>48600000</c:v>
                </c:pt>
                <c:pt idx="22">
                  <c:v>49282000</c:v>
                </c:pt>
                <c:pt idx="23">
                  <c:v>49224000</c:v>
                </c:pt>
                <c:pt idx="24">
                  <c:v>49693000</c:v>
                </c:pt>
                <c:pt idx="25">
                  <c:v>49675000</c:v>
                </c:pt>
                <c:pt idx="26">
                  <c:v>49217000</c:v>
                </c:pt>
                <c:pt idx="27">
                  <c:v>49665000</c:v>
                </c:pt>
                <c:pt idx="28">
                  <c:v>50001000</c:v>
                </c:pt>
                <c:pt idx="29">
                  <c:v>51717000</c:v>
                </c:pt>
                <c:pt idx="30">
                  <c:v>51679000</c:v>
                </c:pt>
                <c:pt idx="31">
                  <c:v>51096000</c:v>
                </c:pt>
                <c:pt idx="32">
                  <c:v>51565000</c:v>
                </c:pt>
                <c:pt idx="33">
                  <c:v>52429000</c:v>
                </c:pt>
                <c:pt idx="34">
                  <c:v>53990000</c:v>
                </c:pt>
                <c:pt idx="35">
                  <c:v>54380000</c:v>
                </c:pt>
                <c:pt idx="36">
                  <c:v>54676000</c:v>
                </c:pt>
                <c:pt idx="37">
                  <c:v>55180000</c:v>
                </c:pt>
                <c:pt idx="38">
                  <c:v>56261000</c:v>
                </c:pt>
                <c:pt idx="39">
                  <c:v>56747000</c:v>
                </c:pt>
                <c:pt idx="40">
                  <c:v>57574000</c:v>
                </c:pt>
                <c:pt idx="41">
                  <c:v>58826000</c:v>
                </c:pt>
                <c:pt idx="42">
                  <c:v>58925000</c:v>
                </c:pt>
                <c:pt idx="43">
                  <c:v>60112000</c:v>
                </c:pt>
                <c:pt idx="44">
                  <c:v>61474000</c:v>
                </c:pt>
                <c:pt idx="45">
                  <c:v>62008000</c:v>
                </c:pt>
                <c:pt idx="46">
                  <c:v>62635000</c:v>
                </c:pt>
                <c:pt idx="47">
                  <c:v>62068000</c:v>
                </c:pt>
                <c:pt idx="48">
                  <c:v>62160000</c:v>
                </c:pt>
                <c:pt idx="49">
                  <c:v>62566000</c:v>
                </c:pt>
                <c:pt idx="50">
                  <c:v>62295000</c:v>
                </c:pt>
                <c:pt idx="51">
                  <c:v>61229000</c:v>
                </c:pt>
                <c:pt idx="52">
                  <c:v>60798000</c:v>
                </c:pt>
                <c:pt idx="53">
                  <c:v>60486000</c:v>
                </c:pt>
                <c:pt idx="54">
                  <c:v>60066000</c:v>
                </c:pt>
                <c:pt idx="55">
                  <c:v>59894000</c:v>
                </c:pt>
                <c:pt idx="56">
                  <c:v>59421000</c:v>
                </c:pt>
                <c:pt idx="57">
                  <c:v>59090000</c:v>
                </c:pt>
                <c:pt idx="58">
                  <c:v>58780000</c:v>
                </c:pt>
                <c:pt idx="59">
                  <c:v>58495000</c:v>
                </c:pt>
                <c:pt idx="60">
                  <c:v>57754000</c:v>
                </c:pt>
                <c:pt idx="61">
                  <c:v>55270000</c:v>
                </c:pt>
                <c:pt idx="62">
                  <c:v>53179000</c:v>
                </c:pt>
                <c:pt idx="63">
                  <c:v>51246000</c:v>
                </c:pt>
                <c:pt idx="64">
                  <c:v>49115000</c:v>
                </c:pt>
                <c:pt idx="65">
                  <c:v>46164000</c:v>
                </c:pt>
                <c:pt idx="66">
                  <c:v>47337000</c:v>
                </c:pt>
                <c:pt idx="67">
                  <c:v>48510000</c:v>
                </c:pt>
                <c:pt idx="68">
                  <c:v>44821000</c:v>
                </c:pt>
                <c:pt idx="69">
                  <c:v>43292000</c:v>
                </c:pt>
                <c:pt idx="70">
                  <c:v>42751000</c:v>
                </c:pt>
                <c:pt idx="71">
                  <c:v>40955458</c:v>
                </c:pt>
                <c:pt idx="72">
                  <c:v>37801888</c:v>
                </c:pt>
                <c:pt idx="73">
                  <c:v>33971695</c:v>
                </c:pt>
                <c:pt idx="74">
                  <c:v>30817351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22-490A-A4F0-8D1ED736720D}"/>
            </c:ext>
          </c:extLst>
        </c:ser>
        <c:ser>
          <c:idx val="2"/>
          <c:order val="2"/>
          <c:tx>
            <c:strRef>
              <c:f>Circ2!$D$2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Circ2!$A$3:$A$77</c:f>
              <c:numCache>
                <c:formatCode>General</c:formatCode>
                <c:ptCount val="75"/>
                <c:pt idx="0">
                  <c:v>1940</c:v>
                </c:pt>
                <c:pt idx="1">
                  <c:v>1945</c:v>
                </c:pt>
                <c:pt idx="2">
                  <c:v>1946</c:v>
                </c:pt>
                <c:pt idx="3">
                  <c:v>1947</c:v>
                </c:pt>
                <c:pt idx="4">
                  <c:v>1948</c:v>
                </c:pt>
                <c:pt idx="5">
                  <c:v>1949</c:v>
                </c:pt>
                <c:pt idx="6">
                  <c:v>1950</c:v>
                </c:pt>
                <c:pt idx="7">
                  <c:v>1951</c:v>
                </c:pt>
                <c:pt idx="8">
                  <c:v>1952</c:v>
                </c:pt>
                <c:pt idx="9">
                  <c:v>1953</c:v>
                </c:pt>
                <c:pt idx="10">
                  <c:v>1954</c:v>
                </c:pt>
                <c:pt idx="11">
                  <c:v>1955</c:v>
                </c:pt>
                <c:pt idx="12">
                  <c:v>1956</c:v>
                </c:pt>
                <c:pt idx="13">
                  <c:v>1957</c:v>
                </c:pt>
                <c:pt idx="14">
                  <c:v>1958</c:v>
                </c:pt>
                <c:pt idx="15">
                  <c:v>1959</c:v>
                </c:pt>
                <c:pt idx="16">
                  <c:v>1960</c:v>
                </c:pt>
                <c:pt idx="17">
                  <c:v>1961</c:v>
                </c:pt>
                <c:pt idx="18">
                  <c:v>1962</c:v>
                </c:pt>
                <c:pt idx="19">
                  <c:v>1963</c:v>
                </c:pt>
                <c:pt idx="20">
                  <c:v>1964</c:v>
                </c:pt>
                <c:pt idx="21">
                  <c:v>1965</c:v>
                </c:pt>
                <c:pt idx="22">
                  <c:v>1966</c:v>
                </c:pt>
                <c:pt idx="23">
                  <c:v>1967</c:v>
                </c:pt>
                <c:pt idx="24">
                  <c:v>1968</c:v>
                </c:pt>
                <c:pt idx="25">
                  <c:v>1969</c:v>
                </c:pt>
                <c:pt idx="26">
                  <c:v>1970</c:v>
                </c:pt>
                <c:pt idx="27">
                  <c:v>1971</c:v>
                </c:pt>
                <c:pt idx="28">
                  <c:v>1972</c:v>
                </c:pt>
                <c:pt idx="29">
                  <c:v>1973</c:v>
                </c:pt>
                <c:pt idx="30">
                  <c:v>1974</c:v>
                </c:pt>
                <c:pt idx="31">
                  <c:v>1975</c:v>
                </c:pt>
                <c:pt idx="32">
                  <c:v>1976</c:v>
                </c:pt>
                <c:pt idx="33">
                  <c:v>1977</c:v>
                </c:pt>
                <c:pt idx="34">
                  <c:v>1978</c:v>
                </c:pt>
                <c:pt idx="35">
                  <c:v>1979</c:v>
                </c:pt>
                <c:pt idx="36">
                  <c:v>1980</c:v>
                </c:pt>
                <c:pt idx="37">
                  <c:v>1981</c:v>
                </c:pt>
                <c:pt idx="38">
                  <c:v>1982</c:v>
                </c:pt>
                <c:pt idx="39">
                  <c:v>1983</c:v>
                </c:pt>
                <c:pt idx="40">
                  <c:v>1984</c:v>
                </c:pt>
                <c:pt idx="41">
                  <c:v>1985</c:v>
                </c:pt>
                <c:pt idx="42">
                  <c:v>1986</c:v>
                </c:pt>
                <c:pt idx="43">
                  <c:v>1987</c:v>
                </c:pt>
                <c:pt idx="44">
                  <c:v>1988</c:v>
                </c:pt>
                <c:pt idx="45">
                  <c:v>1989</c:v>
                </c:pt>
                <c:pt idx="46">
                  <c:v>1990</c:v>
                </c:pt>
                <c:pt idx="47">
                  <c:v>1991</c:v>
                </c:pt>
                <c:pt idx="48">
                  <c:v>1992</c:v>
                </c:pt>
                <c:pt idx="49">
                  <c:v>1993</c:v>
                </c:pt>
                <c:pt idx="50">
                  <c:v>1994</c:v>
                </c:pt>
                <c:pt idx="51">
                  <c:v>1995</c:v>
                </c:pt>
                <c:pt idx="52">
                  <c:v>1996</c:v>
                </c:pt>
                <c:pt idx="53">
                  <c:v>1997</c:v>
                </c:pt>
                <c:pt idx="54">
                  <c:v>1998</c:v>
                </c:pt>
                <c:pt idx="55">
                  <c:v>1999</c:v>
                </c:pt>
                <c:pt idx="56">
                  <c:v>2000</c:v>
                </c:pt>
                <c:pt idx="57">
                  <c:v>2001</c:v>
                </c:pt>
                <c:pt idx="58">
                  <c:v>2002</c:v>
                </c:pt>
                <c:pt idx="59">
                  <c:v>2003</c:v>
                </c:pt>
                <c:pt idx="60">
                  <c:v>2004</c:v>
                </c:pt>
                <c:pt idx="61">
                  <c:v>2005</c:v>
                </c:pt>
                <c:pt idx="62">
                  <c:v>2006</c:v>
                </c:pt>
                <c:pt idx="63">
                  <c:v>2007</c:v>
                </c:pt>
                <c:pt idx="64">
                  <c:v>2008</c:v>
                </c:pt>
                <c:pt idx="65">
                  <c:v>2009</c:v>
                </c:pt>
                <c:pt idx="66">
                  <c:v>2010</c:v>
                </c:pt>
                <c:pt idx="67">
                  <c:v>2011</c:v>
                </c:pt>
                <c:pt idx="68">
                  <c:v>2012</c:v>
                </c:pt>
                <c:pt idx="69">
                  <c:v>2013</c:v>
                </c:pt>
                <c:pt idx="70">
                  <c:v>2014</c:v>
                </c:pt>
                <c:pt idx="71">
                  <c:v>2015</c:v>
                </c:pt>
                <c:pt idx="72">
                  <c:v>2016</c:v>
                </c:pt>
                <c:pt idx="73">
                  <c:v>2017</c:v>
                </c:pt>
                <c:pt idx="74">
                  <c:v>2018</c:v>
                </c:pt>
              </c:numCache>
            </c:numRef>
          </c:xVal>
          <c:yVal>
            <c:numRef>
              <c:f>Circ2!$D$3:$D$77</c:f>
              <c:numCache>
                <c:formatCode>#,##0</c:formatCode>
                <c:ptCount val="75"/>
                <c:pt idx="0">
                  <c:v>73503000</c:v>
                </c:pt>
                <c:pt idx="1">
                  <c:v>88244000</c:v>
                </c:pt>
                <c:pt idx="2">
                  <c:v>94593000</c:v>
                </c:pt>
                <c:pt idx="3">
                  <c:v>96824000</c:v>
                </c:pt>
                <c:pt idx="4">
                  <c:v>98593000</c:v>
                </c:pt>
                <c:pt idx="5">
                  <c:v>99245000</c:v>
                </c:pt>
                <c:pt idx="6">
                  <c:v>100411000</c:v>
                </c:pt>
                <c:pt idx="7">
                  <c:v>100297000</c:v>
                </c:pt>
                <c:pt idx="8">
                  <c:v>100161000</c:v>
                </c:pt>
                <c:pt idx="9">
                  <c:v>100421000</c:v>
                </c:pt>
                <c:pt idx="10">
                  <c:v>101248000</c:v>
                </c:pt>
                <c:pt idx="11">
                  <c:v>102595000</c:v>
                </c:pt>
                <c:pt idx="12">
                  <c:v>104264000</c:v>
                </c:pt>
                <c:pt idx="13">
                  <c:v>104849000</c:v>
                </c:pt>
                <c:pt idx="14">
                  <c:v>104373000</c:v>
                </c:pt>
                <c:pt idx="15">
                  <c:v>106148000</c:v>
                </c:pt>
                <c:pt idx="16">
                  <c:v>106581000</c:v>
                </c:pt>
                <c:pt idx="17">
                  <c:v>107477000</c:v>
                </c:pt>
                <c:pt idx="18">
                  <c:v>108737000</c:v>
                </c:pt>
                <c:pt idx="19">
                  <c:v>105735000</c:v>
                </c:pt>
                <c:pt idx="20">
                  <c:v>108795000</c:v>
                </c:pt>
                <c:pt idx="21">
                  <c:v>108958000</c:v>
                </c:pt>
                <c:pt idx="22">
                  <c:v>110679000</c:v>
                </c:pt>
                <c:pt idx="23">
                  <c:v>110785000</c:v>
                </c:pt>
                <c:pt idx="24">
                  <c:v>112228000</c:v>
                </c:pt>
                <c:pt idx="25">
                  <c:v>111735000</c:v>
                </c:pt>
                <c:pt idx="26">
                  <c:v>111325000</c:v>
                </c:pt>
                <c:pt idx="27">
                  <c:v>111896000</c:v>
                </c:pt>
                <c:pt idx="28">
                  <c:v>112511000</c:v>
                </c:pt>
                <c:pt idx="29">
                  <c:v>114864000</c:v>
                </c:pt>
                <c:pt idx="30">
                  <c:v>113556000</c:v>
                </c:pt>
                <c:pt idx="31">
                  <c:v>111751000</c:v>
                </c:pt>
                <c:pt idx="32">
                  <c:v>112542000</c:v>
                </c:pt>
                <c:pt idx="33">
                  <c:v>113924000</c:v>
                </c:pt>
                <c:pt idx="34">
                  <c:v>115980000</c:v>
                </c:pt>
                <c:pt idx="35">
                  <c:v>116603000</c:v>
                </c:pt>
                <c:pt idx="36">
                  <c:v>116878000</c:v>
                </c:pt>
                <c:pt idx="37">
                  <c:v>116611000</c:v>
                </c:pt>
                <c:pt idx="38">
                  <c:v>118748000</c:v>
                </c:pt>
                <c:pt idx="39">
                  <c:v>119392000</c:v>
                </c:pt>
                <c:pt idx="40">
                  <c:v>120914000</c:v>
                </c:pt>
                <c:pt idx="41">
                  <c:v>121592000</c:v>
                </c:pt>
                <c:pt idx="42">
                  <c:v>121427000</c:v>
                </c:pt>
                <c:pt idx="43">
                  <c:v>122938000</c:v>
                </c:pt>
                <c:pt idx="44">
                  <c:v>124169000</c:v>
                </c:pt>
                <c:pt idx="45">
                  <c:v>124657000</c:v>
                </c:pt>
                <c:pt idx="46">
                  <c:v>124963000</c:v>
                </c:pt>
                <c:pt idx="47">
                  <c:v>122755000</c:v>
                </c:pt>
                <c:pt idx="48">
                  <c:v>122324000</c:v>
                </c:pt>
                <c:pt idx="49">
                  <c:v>122378000</c:v>
                </c:pt>
                <c:pt idx="50">
                  <c:v>121600000</c:v>
                </c:pt>
                <c:pt idx="51">
                  <c:v>119422000</c:v>
                </c:pt>
                <c:pt idx="52">
                  <c:v>117781000</c:v>
                </c:pt>
                <c:pt idx="53">
                  <c:v>117214000</c:v>
                </c:pt>
                <c:pt idx="54">
                  <c:v>116248000</c:v>
                </c:pt>
                <c:pt idx="55">
                  <c:v>115873000</c:v>
                </c:pt>
                <c:pt idx="56">
                  <c:v>115194000</c:v>
                </c:pt>
                <c:pt idx="57">
                  <c:v>114668000</c:v>
                </c:pt>
                <c:pt idx="58">
                  <c:v>113966000</c:v>
                </c:pt>
                <c:pt idx="59">
                  <c:v>113680000</c:v>
                </c:pt>
                <c:pt idx="60">
                  <c:v>112380000</c:v>
                </c:pt>
                <c:pt idx="61">
                  <c:v>108615000</c:v>
                </c:pt>
                <c:pt idx="62">
                  <c:v>105508000</c:v>
                </c:pt>
                <c:pt idx="63">
                  <c:v>101988000</c:v>
                </c:pt>
                <c:pt idx="64">
                  <c:v>97712000</c:v>
                </c:pt>
                <c:pt idx="65">
                  <c:v>91817000</c:v>
                </c:pt>
                <c:pt idx="66">
                  <c:v>92374000</c:v>
                </c:pt>
                <c:pt idx="67">
                  <c:v>92931000</c:v>
                </c:pt>
                <c:pt idx="68">
                  <c:v>88254000</c:v>
                </c:pt>
                <c:pt idx="69">
                  <c:v>84004000</c:v>
                </c:pt>
                <c:pt idx="70">
                  <c:v>83171000</c:v>
                </c:pt>
                <c:pt idx="71">
                  <c:v>78667318</c:v>
                </c:pt>
                <c:pt idx="72">
                  <c:v>72459087</c:v>
                </c:pt>
                <c:pt idx="73">
                  <c:v>64920114</c:v>
                </c:pt>
                <c:pt idx="74">
                  <c:v>59371488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22-490A-A4F0-8D1ED7367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150784"/>
        <c:axId val="547013920"/>
      </c:scatterChart>
      <c:valAx>
        <c:axId val="126815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013920"/>
        <c:crosses val="autoZero"/>
        <c:crossBetween val="midCat"/>
      </c:valAx>
      <c:valAx>
        <c:axId val="54701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150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9</xdr:row>
      <xdr:rowOff>25400</xdr:rowOff>
    </xdr:from>
    <xdr:to>
      <xdr:col>2</xdr:col>
      <xdr:colOff>1758950</xdr:colOff>
      <xdr:row>9</xdr:row>
      <xdr:rowOff>292100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0</xdr:colOff>
      <xdr:row>11</xdr:row>
      <xdr:rowOff>279400</xdr:rowOff>
    </xdr:to>
    <xdr:sp macro="" textlink="">
      <xdr:nvSpPr>
        <xdr:cNvPr id="1028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12700</xdr:rowOff>
    </xdr:to>
    <xdr:sp macro="" textlink="">
      <xdr:nvSpPr>
        <xdr:cNvPr id="103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9</xdr:row>
          <xdr:rowOff>22860</xdr:rowOff>
        </xdr:from>
        <xdr:to>
          <xdr:col>3</xdr:col>
          <xdr:colOff>0</xdr:colOff>
          <xdr:row>10</xdr:row>
          <xdr:rowOff>297180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Start Here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12700</xdr:rowOff>
    </xdr:to>
    <xdr:sp macro="" textlink="">
      <xdr:nvSpPr>
        <xdr:cNvPr id="7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1752600" y="3416300"/>
          <a:ext cx="1765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60960</xdr:colOff>
      <xdr:row>8</xdr:row>
      <xdr:rowOff>175260</xdr:rowOff>
    </xdr:from>
    <xdr:to>
      <xdr:col>16</xdr:col>
      <xdr:colOff>266700</xdr:colOff>
      <xdr:row>23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1247775</xdr:colOff>
      <xdr:row>1</xdr:row>
      <xdr:rowOff>38100</xdr:rowOff>
    </xdr:from>
    <xdr:to>
      <xdr:col>1</xdr:col>
      <xdr:colOff>2812564</xdr:colOff>
      <xdr:row>1</xdr:row>
      <xdr:rowOff>3152774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2275" y="238125"/>
          <a:ext cx="1564789" cy="31146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</xdr:colOff>
      <xdr:row>27</xdr:row>
      <xdr:rowOff>85725</xdr:rowOff>
    </xdr:from>
    <xdr:to>
      <xdr:col>12</xdr:col>
      <xdr:colOff>219075</xdr:colOff>
      <xdr:row>43</xdr:row>
      <xdr:rowOff>160666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14950" y="5410200"/>
          <a:ext cx="4876800" cy="312294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357186</xdr:colOff>
      <xdr:row>5</xdr:row>
      <xdr:rowOff>47625</xdr:rowOff>
    </xdr:from>
    <xdr:to>
      <xdr:col>14</xdr:col>
      <xdr:colOff>609599</xdr:colOff>
      <xdr:row>33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naa.org/Trends-and-Numbers/Newspaper-Revenue.aspx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www.naa.org/Trends-and-Numbers/Newspaper-Revenue.aspx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8"/>
  <sheetViews>
    <sheetView workbookViewId="0">
      <selection activeCell="C6" sqref="C6"/>
    </sheetView>
  </sheetViews>
  <sheetFormatPr defaultColWidth="8.88671875" defaultRowHeight="14.4"/>
  <cols>
    <col min="1" max="1" width="8.88671875" style="15"/>
    <col min="2" max="2" width="17.44140625" style="15" customWidth="1"/>
    <col min="3" max="3" width="26.44140625" style="15" customWidth="1"/>
    <col min="4" max="4" width="8.88671875" style="15"/>
    <col min="5" max="5" width="16.5546875" style="20" customWidth="1"/>
    <col min="6" max="6" width="8.88671875" style="15"/>
    <col min="7" max="7" width="8.88671875" style="18"/>
    <col min="8" max="8" width="110" style="15" customWidth="1"/>
    <col min="9" max="9" width="8.88671875" style="15"/>
    <col min="10" max="12" width="8.88671875" style="19"/>
    <col min="13" max="13" width="18.88671875" style="19" customWidth="1"/>
    <col min="14" max="16384" width="8.88671875" style="15"/>
  </cols>
  <sheetData>
    <row r="1" spans="2:14">
      <c r="G1" s="8"/>
      <c r="H1" s="9"/>
    </row>
    <row r="2" spans="2:14">
      <c r="B2" s="15" t="s">
        <v>496</v>
      </c>
      <c r="E2" s="23"/>
      <c r="G2" s="8"/>
      <c r="H2" s="9"/>
      <c r="M2" s="24"/>
      <c r="N2" s="19"/>
    </row>
    <row r="3" spans="2:14" ht="15" thickBot="1">
      <c r="G3" s="8"/>
      <c r="H3" s="9"/>
      <c r="M3" s="25"/>
      <c r="N3" s="19"/>
    </row>
    <row r="4" spans="2:14" ht="15" thickBot="1">
      <c r="B4" s="15" t="s">
        <v>0</v>
      </c>
      <c r="C4" s="195" t="s">
        <v>500</v>
      </c>
      <c r="D4" s="26" t="s">
        <v>2</v>
      </c>
      <c r="G4" s="10" t="s">
        <v>18</v>
      </c>
      <c r="H4" s="9" t="s">
        <v>24</v>
      </c>
      <c r="M4" s="25"/>
    </row>
    <row r="5" spans="2:14" ht="15" thickBot="1">
      <c r="G5" s="10" t="s">
        <v>6</v>
      </c>
      <c r="H5" s="28" t="s">
        <v>21</v>
      </c>
      <c r="M5" s="25"/>
    </row>
    <row r="6" spans="2:14" ht="15" thickBot="1">
      <c r="B6" s="15" t="s">
        <v>17</v>
      </c>
      <c r="C6" s="195" t="s">
        <v>501</v>
      </c>
      <c r="D6" s="26" t="s">
        <v>3</v>
      </c>
      <c r="G6" s="10" t="s">
        <v>8</v>
      </c>
      <c r="H6" s="9" t="s">
        <v>22</v>
      </c>
      <c r="M6" s="25"/>
    </row>
    <row r="7" spans="2:14" ht="15" thickBot="1">
      <c r="G7" s="10" t="s">
        <v>8</v>
      </c>
      <c r="H7" s="9" t="s">
        <v>23</v>
      </c>
      <c r="M7" s="25"/>
    </row>
    <row r="8" spans="2:14" ht="15" thickBot="1">
      <c r="B8" s="15" t="s">
        <v>1</v>
      </c>
      <c r="C8" s="27">
        <f ca="1">NOW()</f>
        <v>44810.565029282407</v>
      </c>
      <c r="G8" s="10"/>
      <c r="H8" s="9" t="s">
        <v>7</v>
      </c>
    </row>
    <row r="9" spans="2:14" ht="46.5" customHeight="1">
      <c r="C9" s="202" t="s">
        <v>495</v>
      </c>
      <c r="G9" s="12" t="s">
        <v>9</v>
      </c>
      <c r="H9" s="13" t="s">
        <v>15</v>
      </c>
    </row>
    <row r="10" spans="2:14" ht="24" customHeight="1">
      <c r="C10" s="208" t="s">
        <v>25</v>
      </c>
      <c r="E10" s="17">
        <v>44805.835043634259</v>
      </c>
      <c r="F10" s="15" t="s">
        <v>507</v>
      </c>
    </row>
    <row r="11" spans="2:14" ht="24" customHeight="1">
      <c r="C11" s="208"/>
      <c r="H11" s="11"/>
    </row>
    <row r="12" spans="2:14" ht="24" customHeight="1">
      <c r="C12" s="137" t="s">
        <v>16</v>
      </c>
      <c r="E12" s="17"/>
    </row>
    <row r="13" spans="2:14" ht="24" customHeight="1">
      <c r="C13" s="137"/>
    </row>
    <row r="14" spans="2:14" ht="24" customHeight="1">
      <c r="C14" s="16" t="s">
        <v>11</v>
      </c>
    </row>
    <row r="15" spans="2:14" ht="24" customHeight="1">
      <c r="C15" s="30" t="s">
        <v>493</v>
      </c>
    </row>
    <row r="16" spans="2:14">
      <c r="C16" s="136" t="str">
        <f ca="1">IFERROR(_xlfn.TEXTJOIN(" ",TRUE,C18,", Excel version",C17),"Upgrade to Excel 2019")</f>
        <v>Windows (64-bit) NT 10.00 , Excel version 16.0</v>
      </c>
    </row>
    <row r="17" spans="2:4">
      <c r="B17" s="21" t="s">
        <v>19</v>
      </c>
      <c r="C17" s="21" t="str">
        <f ca="1">INFO("release")</f>
        <v>16.0</v>
      </c>
      <c r="D17" s="22"/>
    </row>
    <row r="18" spans="2:4">
      <c r="B18" s="21" t="s">
        <v>20</v>
      </c>
      <c r="C18" s="21" t="str">
        <f ca="1">INFO("OSVERSION")</f>
        <v>Windows (64-bit) NT 10.00</v>
      </c>
      <c r="D18" s="21"/>
    </row>
  </sheetData>
  <sheetProtection algorithmName="SHA-512" hashValue="1v8r2N3M1CcOudKKUtptNLE9cMPiFzeQohDUZLpLy0z6xUYad8qQbOoTtJtAgCD0UbxsonQSaLEO7qigyQwFsQ==" saltValue="LQgiYMb7wkaZRGRr/4s1sA==" spinCount="100000" sheet="1" objects="1" scenarios="1"/>
  <mergeCells count="1">
    <mergeCell ref="C10:C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autoFill="0" autoPict="0" macro="[0]!StartWorkshop_Click">
                <anchor moveWithCells="1" sizeWithCells="1">
                  <from>
                    <xdr:col>2</xdr:col>
                    <xdr:colOff>30480</xdr:colOff>
                    <xdr:row>9</xdr:row>
                    <xdr:rowOff>22860</xdr:rowOff>
                  </from>
                  <to>
                    <xdr:col>3</xdr:col>
                    <xdr:colOff>0</xdr:colOff>
                    <xdr:row>10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02ECA-9386-43B9-BBC7-2BE933E2412F}">
  <sheetPr codeName="Sheet7"/>
  <dimension ref="A1:K46"/>
  <sheetViews>
    <sheetView topLeftCell="A4" workbookViewId="0">
      <selection activeCell="O7" sqref="O7"/>
    </sheetView>
  </sheetViews>
  <sheetFormatPr defaultRowHeight="14.4"/>
  <cols>
    <col min="1" max="4" width="12.88671875" customWidth="1"/>
    <col min="5" max="5" width="35.33203125" customWidth="1"/>
    <col min="7" max="7" width="12.33203125" customWidth="1"/>
    <col min="8" max="8" width="9.109375" customWidth="1"/>
    <col min="9" max="9" width="9.109375" style="45"/>
    <col min="10" max="10" width="10.33203125" style="14" customWidth="1"/>
  </cols>
  <sheetData>
    <row r="1" spans="1:11" s="39" customFormat="1" ht="18">
      <c r="A1" s="39" t="s">
        <v>32</v>
      </c>
      <c r="E1" s="204">
        <v>43101</v>
      </c>
      <c r="F1"/>
      <c r="G1" s="40"/>
      <c r="I1" s="41"/>
      <c r="J1" s="42"/>
      <c r="K1" s="43"/>
    </row>
    <row r="2" spans="1:11">
      <c r="A2" t="s">
        <v>33</v>
      </c>
      <c r="E2" s="44"/>
      <c r="K2" s="1"/>
    </row>
    <row r="3" spans="1:11">
      <c r="A3" s="122" t="str">
        <f>("Fall 2022")</f>
        <v>Fall 2022</v>
      </c>
      <c r="B3" s="46"/>
      <c r="E3" s="123" t="str">
        <f>("Raisa Basher")</f>
        <v>Raisa Basher</v>
      </c>
    </row>
    <row r="4" spans="1:11" s="34" customFormat="1" ht="57.6">
      <c r="A4" s="120"/>
      <c r="B4" s="34" t="s">
        <v>34</v>
      </c>
      <c r="C4" s="34" t="s">
        <v>35</v>
      </c>
      <c r="D4" s="34" t="s">
        <v>36</v>
      </c>
      <c r="E4" s="34" t="s">
        <v>37</v>
      </c>
      <c r="F4" s="119"/>
      <c r="G4" s="34" t="s">
        <v>38</v>
      </c>
      <c r="H4" s="34" t="s">
        <v>39</v>
      </c>
      <c r="I4" s="47"/>
      <c r="J4" s="48"/>
    </row>
    <row r="5" spans="1:11">
      <c r="A5">
        <v>1985</v>
      </c>
      <c r="B5">
        <v>13.4</v>
      </c>
      <c r="C5">
        <v>3.4</v>
      </c>
      <c r="D5">
        <v>8.4</v>
      </c>
      <c r="E5">
        <v>25.2</v>
      </c>
    </row>
    <row r="6" spans="1:11">
      <c r="A6">
        <v>1986</v>
      </c>
      <c r="B6">
        <v>14.3</v>
      </c>
      <c r="C6">
        <v>3.4</v>
      </c>
      <c r="D6">
        <v>9.3000000000000007</v>
      </c>
      <c r="E6">
        <v>27</v>
      </c>
      <c r="G6" s="205">
        <f>E6-E5</f>
        <v>1.8000000000000007</v>
      </c>
      <c r="H6" s="206">
        <f>(E6-E5)/E5</f>
        <v>7.1428571428571452E-2</v>
      </c>
      <c r="J6" s="1" t="s">
        <v>40</v>
      </c>
    </row>
    <row r="7" spans="1:11">
      <c r="A7">
        <v>1987</v>
      </c>
      <c r="B7">
        <v>14.3</v>
      </c>
      <c r="C7">
        <v>3.5</v>
      </c>
      <c r="D7">
        <v>10.7</v>
      </c>
      <c r="E7">
        <v>29.4</v>
      </c>
      <c r="G7" s="205">
        <f t="shared" ref="G7:G30" si="0">E7-E6</f>
        <v>2.3999999999999986</v>
      </c>
      <c r="H7" s="206">
        <f t="shared" ref="H7:H30" si="1">(E7-E6)/E6</f>
        <v>8.8888888888888837E-2</v>
      </c>
    </row>
    <row r="8" spans="1:11">
      <c r="A8">
        <v>1988</v>
      </c>
      <c r="B8">
        <v>14.3</v>
      </c>
      <c r="C8">
        <v>3.8</v>
      </c>
      <c r="D8">
        <v>11.6</v>
      </c>
      <c r="E8">
        <v>31.2</v>
      </c>
      <c r="G8" s="205">
        <f t="shared" si="0"/>
        <v>1.8000000000000007</v>
      </c>
      <c r="H8" s="206">
        <f t="shared" si="1"/>
        <v>6.1224489795918394E-2</v>
      </c>
    </row>
    <row r="9" spans="1:11">
      <c r="A9">
        <v>1989</v>
      </c>
      <c r="B9">
        <v>14.3</v>
      </c>
      <c r="C9">
        <v>3.9</v>
      </c>
      <c r="D9">
        <v>11.9</v>
      </c>
      <c r="E9">
        <v>32.4</v>
      </c>
      <c r="G9" s="205">
        <f t="shared" si="0"/>
        <v>1.1999999999999993</v>
      </c>
      <c r="H9" s="206">
        <f t="shared" si="1"/>
        <v>3.8461538461538443E-2</v>
      </c>
    </row>
    <row r="10" spans="1:11">
      <c r="A10">
        <v>1990</v>
      </c>
      <c r="B10">
        <v>14.3</v>
      </c>
      <c r="C10">
        <v>4.0999999999999996</v>
      </c>
      <c r="D10">
        <v>11.5</v>
      </c>
      <c r="E10">
        <v>32.299999999999997</v>
      </c>
      <c r="G10" s="205">
        <f t="shared" si="0"/>
        <v>-0.10000000000000142</v>
      </c>
      <c r="H10" s="206">
        <f t="shared" si="1"/>
        <v>-3.0864197530864638E-3</v>
      </c>
    </row>
    <row r="11" spans="1:11">
      <c r="A11">
        <v>1991</v>
      </c>
      <c r="B11">
        <v>14.3</v>
      </c>
      <c r="C11">
        <v>3.9</v>
      </c>
      <c r="D11">
        <v>10.6</v>
      </c>
      <c r="E11">
        <v>30.3</v>
      </c>
      <c r="G11" s="205">
        <f t="shared" si="0"/>
        <v>-1.9999999999999964</v>
      </c>
      <c r="H11" s="206">
        <f t="shared" si="1"/>
        <v>-6.1919504643962744E-2</v>
      </c>
    </row>
    <row r="12" spans="1:11">
      <c r="A12">
        <v>1992</v>
      </c>
      <c r="B12">
        <v>14.3</v>
      </c>
      <c r="C12">
        <v>3.8</v>
      </c>
      <c r="D12">
        <v>10.8</v>
      </c>
      <c r="E12">
        <v>30.6</v>
      </c>
      <c r="G12" s="205">
        <f t="shared" si="0"/>
        <v>0.30000000000000071</v>
      </c>
      <c r="H12" s="206">
        <f t="shared" si="1"/>
        <v>9.9009900990099237E-3</v>
      </c>
    </row>
    <row r="13" spans="1:11">
      <c r="A13">
        <v>1993</v>
      </c>
      <c r="B13">
        <v>14.3</v>
      </c>
      <c r="C13">
        <v>3.9</v>
      </c>
      <c r="D13">
        <v>11.2</v>
      </c>
      <c r="E13">
        <v>31.9</v>
      </c>
      <c r="G13" s="205">
        <f t="shared" si="0"/>
        <v>1.2999999999999972</v>
      </c>
      <c r="H13" s="206">
        <f t="shared" si="1"/>
        <v>4.2483660130718859E-2</v>
      </c>
    </row>
    <row r="14" spans="1:11">
      <c r="A14">
        <v>1994</v>
      </c>
      <c r="B14">
        <v>14.3</v>
      </c>
      <c r="C14">
        <v>4.2</v>
      </c>
      <c r="D14">
        <v>12.5</v>
      </c>
      <c r="E14">
        <v>34.200000000000003</v>
      </c>
      <c r="G14" s="205">
        <f t="shared" si="0"/>
        <v>2.3000000000000043</v>
      </c>
      <c r="H14" s="206">
        <f t="shared" si="1"/>
        <v>7.2100313479623965E-2</v>
      </c>
    </row>
    <row r="15" spans="1:11">
      <c r="A15">
        <v>1995</v>
      </c>
      <c r="B15">
        <v>14.3</v>
      </c>
      <c r="C15">
        <v>4.3</v>
      </c>
      <c r="D15">
        <v>13.7</v>
      </c>
      <c r="E15">
        <v>36.1</v>
      </c>
      <c r="G15" s="205">
        <f t="shared" si="0"/>
        <v>1.8999999999999986</v>
      </c>
      <c r="H15" s="206">
        <f t="shared" si="1"/>
        <v>5.5555555555555511E-2</v>
      </c>
    </row>
    <row r="16" spans="1:11">
      <c r="A16">
        <v>1996</v>
      </c>
      <c r="B16">
        <v>14.3</v>
      </c>
      <c r="C16">
        <v>4.7</v>
      </c>
      <c r="D16">
        <v>15.1</v>
      </c>
      <c r="E16">
        <v>38.1</v>
      </c>
      <c r="G16" s="205">
        <f t="shared" si="0"/>
        <v>2</v>
      </c>
      <c r="H16" s="206">
        <f t="shared" si="1"/>
        <v>5.5401662049861494E-2</v>
      </c>
    </row>
    <row r="17" spans="1:10">
      <c r="A17">
        <v>1997</v>
      </c>
      <c r="B17">
        <v>14.3</v>
      </c>
      <c r="C17">
        <v>5.3</v>
      </c>
      <c r="D17">
        <v>16.8</v>
      </c>
      <c r="E17">
        <v>41.3</v>
      </c>
      <c r="G17" s="205">
        <f t="shared" si="0"/>
        <v>3.1999999999999957</v>
      </c>
      <c r="H17" s="206">
        <f t="shared" si="1"/>
        <v>8.3989501312335846E-2</v>
      </c>
    </row>
    <row r="18" spans="1:10">
      <c r="A18">
        <v>1998</v>
      </c>
      <c r="B18">
        <v>14.3</v>
      </c>
      <c r="C18">
        <v>5.7</v>
      </c>
      <c r="D18">
        <v>17.899999999999999</v>
      </c>
      <c r="E18">
        <v>43.9</v>
      </c>
      <c r="G18" s="205">
        <f t="shared" si="0"/>
        <v>2.6000000000000014</v>
      </c>
      <c r="H18" s="206">
        <f t="shared" si="1"/>
        <v>6.295399515738502E-2</v>
      </c>
    </row>
    <row r="19" spans="1:10">
      <c r="A19">
        <v>1999</v>
      </c>
      <c r="B19">
        <v>14.3</v>
      </c>
      <c r="C19">
        <v>6.7</v>
      </c>
      <c r="D19">
        <v>18.7</v>
      </c>
      <c r="E19">
        <v>46.3</v>
      </c>
      <c r="G19" s="205">
        <f t="shared" si="0"/>
        <v>2.3999999999999986</v>
      </c>
      <c r="H19" s="206">
        <f t="shared" si="1"/>
        <v>5.4669703872437324E-2</v>
      </c>
    </row>
    <row r="20" spans="1:10">
      <c r="A20">
        <v>2000</v>
      </c>
      <c r="B20">
        <v>14.3</v>
      </c>
      <c r="C20">
        <v>7.7</v>
      </c>
      <c r="D20">
        <v>19.600000000000001</v>
      </c>
      <c r="E20">
        <v>48.7</v>
      </c>
      <c r="G20" s="205">
        <f t="shared" si="0"/>
        <v>2.4000000000000057</v>
      </c>
      <c r="H20" s="206">
        <f t="shared" si="1"/>
        <v>5.1835853131749585E-2</v>
      </c>
    </row>
    <row r="21" spans="1:10">
      <c r="A21">
        <v>2001</v>
      </c>
      <c r="B21">
        <v>14.3</v>
      </c>
      <c r="C21">
        <v>7</v>
      </c>
      <c r="D21">
        <v>16.600000000000001</v>
      </c>
      <c r="E21">
        <v>44.3</v>
      </c>
      <c r="G21" s="205">
        <f t="shared" si="0"/>
        <v>-4.4000000000000057</v>
      </c>
      <c r="H21" s="206">
        <f t="shared" si="1"/>
        <v>-9.0349075975359461E-2</v>
      </c>
    </row>
    <row r="22" spans="1:10">
      <c r="A22">
        <v>2002</v>
      </c>
      <c r="B22">
        <v>14.3</v>
      </c>
      <c r="C22">
        <v>7.2</v>
      </c>
      <c r="D22">
        <v>15.9</v>
      </c>
      <c r="E22">
        <v>44.1</v>
      </c>
      <c r="G22" s="205">
        <f t="shared" si="0"/>
        <v>-0.19999999999999574</v>
      </c>
      <c r="H22" s="206">
        <f t="shared" si="1"/>
        <v>-4.5146726862301525E-3</v>
      </c>
    </row>
    <row r="23" spans="1:10">
      <c r="A23">
        <v>2003</v>
      </c>
      <c r="B23">
        <v>14.3</v>
      </c>
      <c r="C23">
        <v>7.8</v>
      </c>
      <c r="D23">
        <v>15.8</v>
      </c>
      <c r="E23">
        <v>44.9</v>
      </c>
      <c r="G23" s="205">
        <f t="shared" si="0"/>
        <v>0.79999999999999716</v>
      </c>
      <c r="H23" s="206">
        <f t="shared" si="1"/>
        <v>1.8140589569160932E-2</v>
      </c>
    </row>
    <row r="24" spans="1:10">
      <c r="A24">
        <v>2004</v>
      </c>
      <c r="B24">
        <v>14.3</v>
      </c>
      <c r="C24">
        <v>8.1</v>
      </c>
      <c r="D24">
        <v>16.600000000000001</v>
      </c>
      <c r="E24">
        <v>46.7</v>
      </c>
      <c r="G24" s="205">
        <f t="shared" si="0"/>
        <v>1.8000000000000043</v>
      </c>
      <c r="H24" s="206">
        <f t="shared" si="1"/>
        <v>4.0089086859688289E-2</v>
      </c>
    </row>
    <row r="25" spans="1:10">
      <c r="A25">
        <v>2005</v>
      </c>
      <c r="B25">
        <v>14.3</v>
      </c>
      <c r="C25">
        <v>7.9</v>
      </c>
      <c r="D25">
        <v>17.3</v>
      </c>
      <c r="E25">
        <v>47.4</v>
      </c>
      <c r="G25" s="205">
        <f t="shared" si="0"/>
        <v>0.69999999999999574</v>
      </c>
      <c r="H25" s="206">
        <f t="shared" si="1"/>
        <v>1.4989293361884277E-2</v>
      </c>
    </row>
    <row r="26" spans="1:10">
      <c r="A26">
        <v>2006</v>
      </c>
      <c r="B26">
        <v>14.3</v>
      </c>
      <c r="C26">
        <v>7.5</v>
      </c>
      <c r="D26">
        <v>17</v>
      </c>
      <c r="E26">
        <v>46.6</v>
      </c>
      <c r="G26" s="205">
        <f t="shared" si="0"/>
        <v>-0.79999999999999716</v>
      </c>
      <c r="H26" s="206">
        <f t="shared" si="1"/>
        <v>-1.6877637130801627E-2</v>
      </c>
    </row>
    <row r="27" spans="1:10">
      <c r="A27">
        <v>2007</v>
      </c>
      <c r="B27">
        <v>14.3</v>
      </c>
      <c r="C27">
        <v>7</v>
      </c>
      <c r="D27">
        <v>14.2</v>
      </c>
      <c r="E27">
        <v>42.2</v>
      </c>
      <c r="G27" s="205">
        <f t="shared" si="0"/>
        <v>-4.3999999999999986</v>
      </c>
      <c r="H27" s="206">
        <f t="shared" si="1"/>
        <v>-9.4420600858369064E-2</v>
      </c>
    </row>
    <row r="28" spans="1:10">
      <c r="A28">
        <v>2008</v>
      </c>
      <c r="B28">
        <v>14.3</v>
      </c>
      <c r="C28">
        <v>6</v>
      </c>
      <c r="D28">
        <v>10</v>
      </c>
      <c r="E28">
        <v>34.700000000000003</v>
      </c>
      <c r="G28" s="205">
        <f t="shared" si="0"/>
        <v>-7.5</v>
      </c>
      <c r="H28" s="206">
        <f t="shared" si="1"/>
        <v>-0.1777251184834123</v>
      </c>
    </row>
    <row r="29" spans="1:10">
      <c r="A29">
        <v>2009</v>
      </c>
      <c r="B29">
        <v>14.3</v>
      </c>
      <c r="C29">
        <v>4.4000000000000004</v>
      </c>
      <c r="D29">
        <v>6.2</v>
      </c>
      <c r="E29">
        <v>24.8</v>
      </c>
      <c r="G29" s="205">
        <f t="shared" si="0"/>
        <v>-9.9000000000000021</v>
      </c>
      <c r="H29" s="206">
        <f t="shared" si="1"/>
        <v>-0.28530259365994243</v>
      </c>
    </row>
    <row r="30" spans="1:10">
      <c r="A30">
        <v>2010</v>
      </c>
      <c r="B30">
        <v>14.3</v>
      </c>
      <c r="C30" s="29">
        <v>4.2</v>
      </c>
      <c r="D30" s="29">
        <v>5.6</v>
      </c>
      <c r="E30" s="29">
        <v>22.795000000000002</v>
      </c>
      <c r="G30" s="205">
        <f t="shared" si="0"/>
        <v>-2.004999999999999</v>
      </c>
      <c r="H30" s="206">
        <f t="shared" si="1"/>
        <v>-8.084677419354834E-2</v>
      </c>
      <c r="J30" s="1" t="s">
        <v>41</v>
      </c>
    </row>
    <row r="31" spans="1:10">
      <c r="A31" t="s">
        <v>42</v>
      </c>
      <c r="B31" s="169">
        <f>AVERAGE(B5:B30)</f>
        <v>14.265384615384621</v>
      </c>
      <c r="C31" s="169">
        <f t="shared" ref="C31:E31" si="2">AVERAGE(C5:C30)</f>
        <v>5.361538461538462</v>
      </c>
      <c r="D31" s="169">
        <f t="shared" si="2"/>
        <v>13.28846153846154</v>
      </c>
      <c r="E31" s="169">
        <f t="shared" si="2"/>
        <v>36.822884615384616</v>
      </c>
      <c r="G31" s="29"/>
    </row>
    <row r="32" spans="1:10">
      <c r="A32" t="s">
        <v>492</v>
      </c>
      <c r="B32" s="180"/>
      <c r="C32" s="180"/>
      <c r="D32" s="180"/>
      <c r="E32" s="180"/>
      <c r="G32" s="29"/>
    </row>
    <row r="33" spans="1:5">
      <c r="B33" s="29"/>
      <c r="C33" s="29"/>
      <c r="D33" s="29"/>
      <c r="E33" s="29"/>
    </row>
    <row r="34" spans="1:5">
      <c r="B34" s="29"/>
      <c r="C34" s="49" t="s">
        <v>44</v>
      </c>
      <c r="D34" s="29"/>
      <c r="E34" s="29"/>
    </row>
    <row r="35" spans="1:5">
      <c r="B35" s="29"/>
      <c r="C35" s="49" t="s">
        <v>45</v>
      </c>
      <c r="D35" s="29"/>
      <c r="E35" s="29"/>
    </row>
    <row r="36" spans="1:5">
      <c r="B36" s="29"/>
      <c r="C36" s="29"/>
      <c r="D36" s="29"/>
      <c r="E36" s="29"/>
    </row>
    <row r="37" spans="1:5">
      <c r="B37" s="29"/>
      <c r="C37" s="29"/>
      <c r="D37" s="29"/>
      <c r="E37" s="29"/>
    </row>
    <row r="38" spans="1:5">
      <c r="B38" s="29"/>
      <c r="C38" s="29"/>
      <c r="D38" s="29"/>
      <c r="E38" s="29"/>
    </row>
    <row r="39" spans="1:5">
      <c r="B39" s="29"/>
      <c r="C39" s="29"/>
      <c r="D39" s="29"/>
      <c r="E39" s="29"/>
    </row>
    <row r="40" spans="1:5">
      <c r="B40" s="29"/>
      <c r="C40" s="29"/>
      <c r="D40" s="29"/>
      <c r="E40" s="29"/>
    </row>
    <row r="41" spans="1:5">
      <c r="E41" s="29"/>
    </row>
    <row r="42" spans="1:5">
      <c r="A42" t="s">
        <v>46</v>
      </c>
    </row>
    <row r="43" spans="1:5">
      <c r="A43" t="s">
        <v>47</v>
      </c>
    </row>
    <row r="45" spans="1:5">
      <c r="A45" t="s">
        <v>48</v>
      </c>
    </row>
    <row r="46" spans="1:5">
      <c r="A46" t="s">
        <v>49</v>
      </c>
    </row>
  </sheetData>
  <sheetProtection formatCells="0" formatColumns="0" formatRows="0" sort="0" autoFilter="0"/>
  <conditionalFormatting sqref="J6">
    <cfRule type="expression" dxfId="8" priority="5">
      <formula>$G$6=1.8</formula>
    </cfRule>
  </conditionalFormatting>
  <conditionalFormatting sqref="J30">
    <cfRule type="expression" dxfId="7" priority="4">
      <formula>$G$30=(-2.005)</formula>
    </cfRule>
  </conditionalFormatting>
  <conditionalFormatting sqref="C35">
    <cfRule type="expression" dxfId="6" priority="3">
      <formula>$C$32&gt;1.67</formula>
    </cfRule>
  </conditionalFormatting>
  <conditionalFormatting sqref="C34">
    <cfRule type="expression" dxfId="5" priority="1">
      <formula>ISBLANK($C$32)</formula>
    </cfRule>
    <cfRule type="expression" dxfId="4" priority="2">
      <formula>$C$32&lt;1.65</formula>
    </cfRule>
  </conditionalFormatting>
  <printOptions gridLines="1"/>
  <pageMargins left="0.25" right="0.25" top="0.75" bottom="0.75" header="0.3" footer="0.3"/>
  <pageSetup orientation="landscape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F1D178A7-027D-499F-A191-633B47033C1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Revenue!B5:B30</xm:f>
              <xm:sqref>B32</xm:sqref>
            </x14:sparkline>
            <x14:sparkline>
              <xm:f>Revenue!C5:C30</xm:f>
              <xm:sqref>C32</xm:sqref>
            </x14:sparkline>
            <x14:sparkline>
              <xm:f>Revenue!D5:D30</xm:f>
              <xm:sqref>D32</xm:sqref>
            </x14:sparkline>
            <x14:sparkline>
              <xm:f>Revenue!E5:E30</xm:f>
              <xm:sqref>E32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7AF6E-EAEB-4CEC-BF8D-5734D150CFFA}">
  <sheetPr codeName="Sheet11"/>
  <dimension ref="A1:K170"/>
  <sheetViews>
    <sheetView workbookViewId="0">
      <selection activeCell="K2" sqref="K2"/>
    </sheetView>
  </sheetViews>
  <sheetFormatPr defaultColWidth="9.109375" defaultRowHeight="15.6"/>
  <cols>
    <col min="1" max="1" width="19.5546875" style="54" customWidth="1"/>
    <col min="2" max="2" width="15.33203125" style="52" customWidth="1"/>
    <col min="3" max="3" width="10.6640625" style="52" customWidth="1"/>
    <col min="4" max="10" width="13.88671875" style="52" customWidth="1"/>
    <col min="11" max="11" width="19.44140625" style="54" customWidth="1"/>
    <col min="12" max="16384" width="9.109375" style="54"/>
  </cols>
  <sheetData>
    <row r="1" spans="1:11">
      <c r="A1" s="50" t="s">
        <v>50</v>
      </c>
      <c r="B1" s="51" t="s">
        <v>51</v>
      </c>
      <c r="C1" s="51" t="s">
        <v>52</v>
      </c>
      <c r="D1" s="51" t="s">
        <v>53</v>
      </c>
      <c r="E1" s="52" t="s">
        <v>54</v>
      </c>
      <c r="F1" s="52" t="s">
        <v>55</v>
      </c>
      <c r="G1" s="52" t="s">
        <v>56</v>
      </c>
      <c r="H1" s="52" t="s">
        <v>57</v>
      </c>
      <c r="I1" s="52" t="s">
        <v>58</v>
      </c>
      <c r="J1" s="52" t="s">
        <v>59</v>
      </c>
      <c r="K1" s="53" t="str">
        <f>CONCATENATE(I1," ",J1)</f>
        <v>Other Homestead</v>
      </c>
    </row>
    <row r="2" spans="1:11" s="59" customFormat="1">
      <c r="A2" s="55" t="s">
        <v>60</v>
      </c>
      <c r="B2" s="56">
        <v>1.9E-2</v>
      </c>
      <c r="C2" s="56"/>
      <c r="D2" s="57" t="s">
        <v>61</v>
      </c>
      <c r="E2" s="58"/>
      <c r="F2" s="58"/>
      <c r="G2" s="58"/>
      <c r="H2" s="58" t="s">
        <v>61</v>
      </c>
      <c r="I2" s="58" t="s">
        <v>61</v>
      </c>
      <c r="J2" s="58"/>
    </row>
    <row r="3" spans="1:11">
      <c r="A3" s="60" t="s">
        <v>62</v>
      </c>
      <c r="B3" s="61">
        <v>0.08</v>
      </c>
      <c r="C3" s="61" t="s">
        <v>61</v>
      </c>
      <c r="D3" s="62"/>
      <c r="E3" s="52" t="s">
        <v>61</v>
      </c>
      <c r="F3" s="52" t="s">
        <v>61</v>
      </c>
      <c r="G3" s="52" t="s">
        <v>61</v>
      </c>
      <c r="H3" s="52" t="s">
        <v>61</v>
      </c>
    </row>
    <row r="4" spans="1:11">
      <c r="A4" s="60" t="s">
        <v>63</v>
      </c>
      <c r="B4" s="61">
        <v>7.0000000000000007E-2</v>
      </c>
      <c r="C4" s="61" t="s">
        <v>61</v>
      </c>
      <c r="D4" s="62"/>
      <c r="E4" s="52" t="s">
        <v>61</v>
      </c>
      <c r="F4" s="52" t="s">
        <v>61</v>
      </c>
      <c r="G4" s="52" t="s">
        <v>61</v>
      </c>
    </row>
    <row r="5" spans="1:11">
      <c r="A5" s="60" t="s">
        <v>64</v>
      </c>
      <c r="B5" s="61">
        <v>7.0000000000000007E-2</v>
      </c>
      <c r="C5" s="61" t="s">
        <v>61</v>
      </c>
      <c r="D5" s="62"/>
      <c r="E5" s="52" t="s">
        <v>61</v>
      </c>
      <c r="F5" s="52" t="s">
        <v>61</v>
      </c>
      <c r="G5" s="52" t="s">
        <v>61</v>
      </c>
    </row>
    <row r="6" spans="1:11">
      <c r="A6" s="60" t="s">
        <v>65</v>
      </c>
      <c r="B6" s="61">
        <v>7.0000000000000007E-2</v>
      </c>
      <c r="C6" s="61" t="s">
        <v>61</v>
      </c>
      <c r="D6" s="62"/>
      <c r="E6" s="52" t="s">
        <v>61</v>
      </c>
      <c r="F6" s="52" t="s">
        <v>61</v>
      </c>
      <c r="G6" s="52" t="s">
        <v>61</v>
      </c>
    </row>
    <row r="7" spans="1:11">
      <c r="A7" s="60" t="s">
        <v>66</v>
      </c>
      <c r="B7" s="61">
        <v>7.0000000000000007E-2</v>
      </c>
      <c r="C7" s="61" t="s">
        <v>61</v>
      </c>
      <c r="D7" s="62"/>
      <c r="E7" s="52" t="s">
        <v>61</v>
      </c>
      <c r="F7" s="52" t="s">
        <v>61</v>
      </c>
      <c r="G7" s="52" t="s">
        <v>61</v>
      </c>
    </row>
    <row r="8" spans="1:11">
      <c r="A8" s="60" t="s">
        <v>67</v>
      </c>
      <c r="B8" s="61">
        <v>7.0000000000000007E-2</v>
      </c>
      <c r="C8" s="61" t="s">
        <v>61</v>
      </c>
      <c r="D8" s="62"/>
      <c r="E8" s="52" t="s">
        <v>61</v>
      </c>
      <c r="F8" s="52" t="s">
        <v>61</v>
      </c>
      <c r="G8" s="52" t="s">
        <v>61</v>
      </c>
    </row>
    <row r="9" spans="1:11">
      <c r="A9" s="60" t="s">
        <v>68</v>
      </c>
      <c r="B9" s="61">
        <v>7.0000000000000007E-2</v>
      </c>
      <c r="C9" s="61" t="s">
        <v>61</v>
      </c>
      <c r="D9" s="62"/>
      <c r="E9" s="52" t="s">
        <v>61</v>
      </c>
      <c r="F9" s="52" t="s">
        <v>61</v>
      </c>
      <c r="G9" s="52" t="s">
        <v>61</v>
      </c>
    </row>
    <row r="10" spans="1:11">
      <c r="A10" s="60" t="s">
        <v>69</v>
      </c>
      <c r="B10" s="61">
        <v>7.0000000000000007E-2</v>
      </c>
      <c r="C10" s="61" t="s">
        <v>61</v>
      </c>
      <c r="D10" s="62"/>
      <c r="E10" s="52" t="s">
        <v>61</v>
      </c>
      <c r="F10" s="52" t="s">
        <v>61</v>
      </c>
      <c r="G10" s="52" t="s">
        <v>61</v>
      </c>
    </row>
    <row r="11" spans="1:11">
      <c r="A11" s="60" t="s">
        <v>70</v>
      </c>
      <c r="B11" s="61">
        <v>7.0000000000000007E-2</v>
      </c>
      <c r="C11" s="61" t="s">
        <v>61</v>
      </c>
      <c r="D11" s="62"/>
      <c r="E11" s="52" t="s">
        <v>61</v>
      </c>
      <c r="F11" s="52" t="s">
        <v>61</v>
      </c>
      <c r="G11" s="52" t="s">
        <v>61</v>
      </c>
    </row>
    <row r="12" spans="1:11">
      <c r="A12" s="60" t="s">
        <v>71</v>
      </c>
      <c r="B12" s="61">
        <v>7.0000000000000007E-2</v>
      </c>
      <c r="C12" s="61" t="s">
        <v>61</v>
      </c>
      <c r="D12" s="62"/>
      <c r="E12" s="52" t="s">
        <v>61</v>
      </c>
      <c r="F12" s="52" t="s">
        <v>61</v>
      </c>
      <c r="G12" s="52" t="s">
        <v>61</v>
      </c>
    </row>
    <row r="13" spans="1:11">
      <c r="A13" s="60" t="s">
        <v>72</v>
      </c>
      <c r="B13" s="61">
        <v>7.0000000000000007E-2</v>
      </c>
      <c r="C13" s="61" t="s">
        <v>61</v>
      </c>
      <c r="D13" s="62"/>
      <c r="E13" s="52" t="s">
        <v>61</v>
      </c>
      <c r="F13" s="52" t="s">
        <v>61</v>
      </c>
      <c r="G13" s="52" t="s">
        <v>61</v>
      </c>
    </row>
    <row r="14" spans="1:11">
      <c r="A14" s="60" t="s">
        <v>73</v>
      </c>
      <c r="B14" s="61">
        <v>0.08</v>
      </c>
      <c r="C14" s="61" t="s">
        <v>61</v>
      </c>
      <c r="D14" s="62"/>
      <c r="E14" s="52" t="s">
        <v>61</v>
      </c>
      <c r="F14" s="52" t="s">
        <v>61</v>
      </c>
      <c r="G14" s="52" t="s">
        <v>61</v>
      </c>
      <c r="H14" s="52" t="s">
        <v>61</v>
      </c>
    </row>
    <row r="15" spans="1:11">
      <c r="A15" s="60" t="s">
        <v>74</v>
      </c>
      <c r="B15" s="61">
        <v>7.0000000000000007E-2</v>
      </c>
      <c r="C15" s="61" t="s">
        <v>61</v>
      </c>
      <c r="D15" s="62"/>
      <c r="E15" s="52" t="s">
        <v>61</v>
      </c>
      <c r="F15" s="52" t="s">
        <v>61</v>
      </c>
      <c r="G15" s="52" t="s">
        <v>61</v>
      </c>
    </row>
    <row r="16" spans="1:11">
      <c r="A16" s="60" t="s">
        <v>75</v>
      </c>
      <c r="B16" s="61">
        <v>7.0000000000000007E-2</v>
      </c>
      <c r="C16" s="61" t="s">
        <v>61</v>
      </c>
      <c r="D16" s="62"/>
      <c r="E16" s="52" t="s">
        <v>61</v>
      </c>
      <c r="F16" s="52" t="s">
        <v>61</v>
      </c>
      <c r="G16" s="52" t="s">
        <v>61</v>
      </c>
    </row>
    <row r="17" spans="1:8">
      <c r="A17" s="60" t="s">
        <v>76</v>
      </c>
      <c r="B17" s="61">
        <v>7.0000000000000007E-2</v>
      </c>
      <c r="C17" s="61" t="s">
        <v>61</v>
      </c>
      <c r="D17" s="62"/>
      <c r="E17" s="52" t="s">
        <v>61</v>
      </c>
      <c r="F17" s="52" t="s">
        <v>61</v>
      </c>
      <c r="G17" s="52" t="s">
        <v>61</v>
      </c>
    </row>
    <row r="18" spans="1:8">
      <c r="A18" s="60" t="s">
        <v>77</v>
      </c>
      <c r="B18" s="61">
        <v>7.0000000000000007E-2</v>
      </c>
      <c r="C18" s="61" t="s">
        <v>61</v>
      </c>
      <c r="D18" s="62"/>
      <c r="E18" s="52" t="s">
        <v>61</v>
      </c>
      <c r="F18" s="52" t="s">
        <v>61</v>
      </c>
      <c r="G18" s="52" t="s">
        <v>61</v>
      </c>
    </row>
    <row r="19" spans="1:8">
      <c r="A19" s="60" t="s">
        <v>78</v>
      </c>
      <c r="B19" s="61">
        <v>7.0000000000000007E-2</v>
      </c>
      <c r="C19" s="61" t="s">
        <v>61</v>
      </c>
      <c r="D19" s="62"/>
      <c r="E19" s="52" t="s">
        <v>61</v>
      </c>
      <c r="F19" s="52" t="s">
        <v>61</v>
      </c>
      <c r="H19" s="52" t="s">
        <v>61</v>
      </c>
    </row>
    <row r="20" spans="1:8">
      <c r="A20" s="60" t="s">
        <v>79</v>
      </c>
      <c r="B20" s="61">
        <v>7.0000000000000007E-2</v>
      </c>
      <c r="C20" s="61" t="s">
        <v>61</v>
      </c>
      <c r="D20" s="62"/>
      <c r="E20" s="52" t="s">
        <v>61</v>
      </c>
      <c r="F20" s="52" t="s">
        <v>61</v>
      </c>
      <c r="G20" s="52" t="s">
        <v>61</v>
      </c>
    </row>
    <row r="21" spans="1:8">
      <c r="A21" s="60" t="s">
        <v>80</v>
      </c>
      <c r="B21" s="61">
        <v>7.0000000000000007E-2</v>
      </c>
      <c r="C21" s="61" t="s">
        <v>61</v>
      </c>
      <c r="D21" s="62"/>
      <c r="E21" s="52" t="s">
        <v>61</v>
      </c>
      <c r="F21" s="52" t="s">
        <v>61</v>
      </c>
      <c r="G21" s="52" t="s">
        <v>61</v>
      </c>
    </row>
    <row r="22" spans="1:8">
      <c r="A22" s="60" t="s">
        <v>81</v>
      </c>
      <c r="B22" s="61">
        <v>7.0000000000000007E-2</v>
      </c>
      <c r="C22" s="61" t="s">
        <v>61</v>
      </c>
      <c r="D22" s="62"/>
      <c r="E22" s="52" t="s">
        <v>61</v>
      </c>
      <c r="F22" s="52" t="s">
        <v>61</v>
      </c>
      <c r="G22" s="52" t="s">
        <v>61</v>
      </c>
    </row>
    <row r="23" spans="1:8">
      <c r="A23" s="60" t="s">
        <v>82</v>
      </c>
      <c r="B23" s="61">
        <v>0.08</v>
      </c>
      <c r="C23" s="61" t="s">
        <v>61</v>
      </c>
      <c r="D23" s="62"/>
      <c r="E23" s="52" t="s">
        <v>61</v>
      </c>
      <c r="F23" s="52" t="s">
        <v>61</v>
      </c>
      <c r="G23" s="52" t="s">
        <v>61</v>
      </c>
      <c r="H23" s="52" t="s">
        <v>61</v>
      </c>
    </row>
    <row r="24" spans="1:8">
      <c r="A24" s="60" t="s">
        <v>83</v>
      </c>
      <c r="B24" s="61">
        <v>7.0000000000000007E-2</v>
      </c>
      <c r="C24" s="61" t="s">
        <v>61</v>
      </c>
      <c r="D24" s="62"/>
      <c r="E24" s="52" t="s">
        <v>61</v>
      </c>
      <c r="F24" s="52" t="s">
        <v>61</v>
      </c>
      <c r="G24" s="52" t="s">
        <v>61</v>
      </c>
    </row>
    <row r="25" spans="1:8">
      <c r="A25" s="60" t="s">
        <v>84</v>
      </c>
      <c r="B25" s="61">
        <v>7.0000000000000007E-2</v>
      </c>
      <c r="C25" s="61" t="s">
        <v>61</v>
      </c>
      <c r="D25" s="62"/>
      <c r="E25" s="52" t="s">
        <v>61</v>
      </c>
      <c r="F25" s="52" t="s">
        <v>61</v>
      </c>
      <c r="G25" s="52" t="s">
        <v>61</v>
      </c>
    </row>
    <row r="26" spans="1:8">
      <c r="A26" s="60" t="s">
        <v>85</v>
      </c>
      <c r="B26" s="61">
        <v>7.0000000000000007E-2</v>
      </c>
      <c r="C26" s="61" t="s">
        <v>61</v>
      </c>
      <c r="D26" s="62"/>
      <c r="E26" s="52" t="s">
        <v>61</v>
      </c>
      <c r="F26" s="52" t="s">
        <v>61</v>
      </c>
      <c r="G26" s="52" t="s">
        <v>61</v>
      </c>
    </row>
    <row r="27" spans="1:8">
      <c r="A27" s="60" t="s">
        <v>86</v>
      </c>
      <c r="B27" s="61">
        <v>7.0000000000000007E-2</v>
      </c>
      <c r="C27" s="61" t="s">
        <v>61</v>
      </c>
      <c r="D27" s="62"/>
      <c r="E27" s="52" t="s">
        <v>61</v>
      </c>
      <c r="F27" s="52" t="s">
        <v>61</v>
      </c>
      <c r="G27" s="52" t="s">
        <v>61</v>
      </c>
    </row>
    <row r="28" spans="1:8">
      <c r="A28" s="60" t="s">
        <v>87</v>
      </c>
      <c r="B28" s="61">
        <v>0.08</v>
      </c>
      <c r="C28" s="61" t="s">
        <v>61</v>
      </c>
      <c r="D28" s="62"/>
      <c r="E28" s="52" t="s">
        <v>61</v>
      </c>
      <c r="F28" s="52" t="s">
        <v>61</v>
      </c>
      <c r="G28" s="52" t="s">
        <v>61</v>
      </c>
      <c r="H28" s="52" t="s">
        <v>61</v>
      </c>
    </row>
    <row r="29" spans="1:8">
      <c r="A29" s="60" t="s">
        <v>88</v>
      </c>
      <c r="B29" s="61">
        <v>7.0000000000000007E-2</v>
      </c>
      <c r="C29" s="61" t="s">
        <v>61</v>
      </c>
      <c r="D29" s="62"/>
      <c r="E29" s="52" t="s">
        <v>61</v>
      </c>
      <c r="F29" s="52" t="s">
        <v>61</v>
      </c>
      <c r="G29" s="52" t="s">
        <v>61</v>
      </c>
    </row>
    <row r="30" spans="1:8">
      <c r="A30" s="60" t="s">
        <v>89</v>
      </c>
      <c r="B30" s="61">
        <v>0.06</v>
      </c>
      <c r="C30" s="61" t="s">
        <v>61</v>
      </c>
      <c r="D30" s="62"/>
      <c r="F30" s="52" t="s">
        <v>61</v>
      </c>
      <c r="G30" s="52" t="s">
        <v>61</v>
      </c>
    </row>
    <row r="31" spans="1:8">
      <c r="A31" s="60" t="s">
        <v>90</v>
      </c>
      <c r="B31" s="61">
        <v>7.0000000000000007E-2</v>
      </c>
      <c r="C31" s="61" t="s">
        <v>61</v>
      </c>
      <c r="D31" s="62"/>
      <c r="E31" s="52" t="s">
        <v>61</v>
      </c>
      <c r="F31" s="52" t="s">
        <v>61</v>
      </c>
      <c r="G31" s="52" t="s">
        <v>61</v>
      </c>
    </row>
    <row r="32" spans="1:8">
      <c r="A32" s="60" t="s">
        <v>91</v>
      </c>
      <c r="B32" s="61">
        <v>0.08</v>
      </c>
      <c r="C32" s="61" t="s">
        <v>61</v>
      </c>
      <c r="D32" s="62"/>
      <c r="E32" s="52" t="s">
        <v>61</v>
      </c>
      <c r="F32" s="52" t="s">
        <v>61</v>
      </c>
      <c r="G32" s="52" t="s">
        <v>61</v>
      </c>
      <c r="H32" s="52" t="s">
        <v>61</v>
      </c>
    </row>
    <row r="33" spans="1:10">
      <c r="A33" s="60" t="s">
        <v>92</v>
      </c>
      <c r="B33" s="61">
        <v>0.08</v>
      </c>
      <c r="C33" s="61" t="s">
        <v>61</v>
      </c>
      <c r="D33" s="62" t="s">
        <v>61</v>
      </c>
      <c r="E33" s="52" t="s">
        <v>61</v>
      </c>
      <c r="F33" s="52" t="s">
        <v>61</v>
      </c>
      <c r="G33" s="52" t="s">
        <v>61</v>
      </c>
    </row>
    <row r="34" spans="1:10">
      <c r="A34" s="60" t="s">
        <v>93</v>
      </c>
      <c r="B34" s="61">
        <v>7.0000000000000007E-2</v>
      </c>
      <c r="C34" s="61" t="s">
        <v>61</v>
      </c>
      <c r="D34" s="62"/>
      <c r="E34" s="52" t="s">
        <v>61</v>
      </c>
      <c r="F34" s="52" t="s">
        <v>61</v>
      </c>
      <c r="G34" s="52" t="s">
        <v>61</v>
      </c>
    </row>
    <row r="35" spans="1:10">
      <c r="A35" s="60" t="s">
        <v>94</v>
      </c>
      <c r="B35" s="61">
        <v>0.06</v>
      </c>
      <c r="C35" s="61" t="s">
        <v>61</v>
      </c>
      <c r="D35" s="62"/>
      <c r="F35" s="52" t="s">
        <v>61</v>
      </c>
      <c r="G35" s="52" t="s">
        <v>61</v>
      </c>
    </row>
    <row r="36" spans="1:10">
      <c r="A36" s="60" t="s">
        <v>95</v>
      </c>
      <c r="B36" s="61">
        <v>7.0000000000000007E-2</v>
      </c>
      <c r="C36" s="61" t="s">
        <v>61</v>
      </c>
      <c r="D36" s="62"/>
      <c r="E36" s="52" t="s">
        <v>61</v>
      </c>
      <c r="F36" s="52" t="s">
        <v>61</v>
      </c>
      <c r="G36" s="52" t="s">
        <v>61</v>
      </c>
    </row>
    <row r="37" spans="1:10">
      <c r="A37" s="60" t="s">
        <v>96</v>
      </c>
      <c r="B37" s="61">
        <v>7.0000000000000007E-2</v>
      </c>
      <c r="C37" s="61" t="s">
        <v>61</v>
      </c>
      <c r="D37" s="62"/>
      <c r="E37" s="52" t="s">
        <v>61</v>
      </c>
      <c r="F37" s="52" t="s">
        <v>61</v>
      </c>
      <c r="G37" s="52" t="s">
        <v>61</v>
      </c>
    </row>
    <row r="38" spans="1:10">
      <c r="A38" s="60" t="s">
        <v>97</v>
      </c>
      <c r="B38" s="61">
        <v>0.08</v>
      </c>
      <c r="C38" s="61" t="s">
        <v>61</v>
      </c>
      <c r="D38" s="62"/>
      <c r="E38" s="52" t="s">
        <v>61</v>
      </c>
      <c r="F38" s="52" t="s">
        <v>61</v>
      </c>
      <c r="G38" s="52" t="s">
        <v>61</v>
      </c>
      <c r="H38" s="52" t="s">
        <v>61</v>
      </c>
    </row>
    <row r="39" spans="1:10">
      <c r="A39" s="60" t="s">
        <v>98</v>
      </c>
      <c r="B39" s="61">
        <v>7.0000000000000007E-2</v>
      </c>
      <c r="C39" s="61" t="s">
        <v>61</v>
      </c>
      <c r="D39" s="62"/>
      <c r="E39" s="52" t="s">
        <v>61</v>
      </c>
      <c r="F39" s="52" t="s">
        <v>61</v>
      </c>
      <c r="G39" s="52" t="s">
        <v>61</v>
      </c>
    </row>
    <row r="40" spans="1:10">
      <c r="A40" s="60" t="s">
        <v>99</v>
      </c>
      <c r="B40" s="61">
        <v>7.0000000000000007E-2</v>
      </c>
      <c r="C40" s="61" t="s">
        <v>61</v>
      </c>
      <c r="D40" s="62"/>
      <c r="E40" s="52" t="s">
        <v>61</v>
      </c>
      <c r="F40" s="52" t="s">
        <v>61</v>
      </c>
      <c r="G40" s="52" t="s">
        <v>61</v>
      </c>
    </row>
    <row r="41" spans="1:10">
      <c r="A41" s="60" t="s">
        <v>100</v>
      </c>
      <c r="B41" s="61">
        <v>7.0000000000000007E-2</v>
      </c>
      <c r="C41" s="61" t="s">
        <v>61</v>
      </c>
      <c r="D41" s="62"/>
      <c r="E41" s="52" t="s">
        <v>61</v>
      </c>
      <c r="F41" s="52" t="s">
        <v>61</v>
      </c>
      <c r="G41" s="52" t="s">
        <v>61</v>
      </c>
    </row>
    <row r="42" spans="1:10">
      <c r="A42" s="60" t="s">
        <v>101</v>
      </c>
      <c r="B42" s="61">
        <v>0.08</v>
      </c>
      <c r="C42" s="61" t="s">
        <v>61</v>
      </c>
      <c r="D42" s="62"/>
      <c r="E42" s="52" t="s">
        <v>61</v>
      </c>
      <c r="F42" s="52" t="s">
        <v>61</v>
      </c>
      <c r="G42" s="52" t="s">
        <v>61</v>
      </c>
      <c r="H42" s="52" t="s">
        <v>61</v>
      </c>
    </row>
    <row r="43" spans="1:10">
      <c r="A43" s="60" t="s">
        <v>102</v>
      </c>
      <c r="B43" s="61">
        <v>7.0000000000000007E-2</v>
      </c>
      <c r="C43" s="61" t="s">
        <v>61</v>
      </c>
      <c r="D43" s="62"/>
      <c r="E43" s="52" t="s">
        <v>61</v>
      </c>
      <c r="F43" s="52" t="s">
        <v>61</v>
      </c>
      <c r="G43" s="52" t="s">
        <v>61</v>
      </c>
    </row>
    <row r="44" spans="1:10">
      <c r="A44" s="60" t="s">
        <v>103</v>
      </c>
      <c r="B44" s="61">
        <v>7.0000000000000007E-2</v>
      </c>
      <c r="C44" s="61" t="s">
        <v>61</v>
      </c>
      <c r="D44" s="62"/>
      <c r="E44" s="52" t="s">
        <v>61</v>
      </c>
      <c r="F44" s="52" t="s">
        <v>61</v>
      </c>
      <c r="G44" s="52" t="s">
        <v>61</v>
      </c>
    </row>
    <row r="45" spans="1:10">
      <c r="A45" s="60" t="s">
        <v>104</v>
      </c>
      <c r="B45" s="61">
        <v>7.0000000000000007E-2</v>
      </c>
      <c r="C45" s="61" t="s">
        <v>61</v>
      </c>
      <c r="D45" s="62"/>
      <c r="E45" s="52" t="s">
        <v>61</v>
      </c>
      <c r="F45" s="52" t="s">
        <v>61</v>
      </c>
      <c r="G45" s="52" t="s">
        <v>61</v>
      </c>
    </row>
    <row r="46" spans="1:10">
      <c r="A46" s="60" t="s">
        <v>105</v>
      </c>
      <c r="B46" s="61">
        <v>7.0000000000000007E-2</v>
      </c>
      <c r="C46" s="61" t="s">
        <v>61</v>
      </c>
      <c r="D46" s="62" t="s">
        <v>61</v>
      </c>
      <c r="G46" s="52" t="s">
        <v>61</v>
      </c>
      <c r="J46" s="52" t="s">
        <v>61</v>
      </c>
    </row>
    <row r="47" spans="1:10">
      <c r="A47" s="60" t="s">
        <v>106</v>
      </c>
      <c r="B47" s="61">
        <v>0.08</v>
      </c>
      <c r="C47" s="61" t="s">
        <v>61</v>
      </c>
      <c r="D47" s="62"/>
      <c r="E47" s="52" t="s">
        <v>61</v>
      </c>
      <c r="F47" s="52" t="s">
        <v>61</v>
      </c>
      <c r="G47" s="52" t="s">
        <v>61</v>
      </c>
      <c r="H47" s="52" t="s">
        <v>61</v>
      </c>
    </row>
    <row r="48" spans="1:10">
      <c r="A48" s="60" t="s">
        <v>107</v>
      </c>
      <c r="B48" s="61">
        <v>0.08</v>
      </c>
      <c r="C48" s="61" t="s">
        <v>61</v>
      </c>
      <c r="D48" s="62"/>
      <c r="E48" s="52" t="s">
        <v>61</v>
      </c>
      <c r="F48" s="52" t="s">
        <v>61</v>
      </c>
      <c r="G48" s="52" t="s">
        <v>61</v>
      </c>
      <c r="H48" s="52" t="s">
        <v>61</v>
      </c>
    </row>
    <row r="49" spans="1:8">
      <c r="A49" s="60" t="s">
        <v>108</v>
      </c>
      <c r="B49" s="61">
        <v>7.0000000000000007E-2</v>
      </c>
      <c r="C49" s="61" t="s">
        <v>61</v>
      </c>
      <c r="D49" s="62"/>
      <c r="E49" s="52" t="s">
        <v>61</v>
      </c>
      <c r="F49" s="52" t="s">
        <v>61</v>
      </c>
      <c r="G49" s="52" t="s">
        <v>61</v>
      </c>
    </row>
    <row r="50" spans="1:8">
      <c r="A50" s="60" t="s">
        <v>109</v>
      </c>
      <c r="B50" s="61">
        <v>7.0000000000000007E-2</v>
      </c>
      <c r="C50" s="61" t="s">
        <v>61</v>
      </c>
      <c r="D50" s="62"/>
      <c r="E50" s="52" t="s">
        <v>61</v>
      </c>
      <c r="F50" s="52" t="s">
        <v>61</v>
      </c>
      <c r="G50" s="52" t="s">
        <v>61</v>
      </c>
    </row>
    <row r="51" spans="1:8">
      <c r="A51" s="60" t="s">
        <v>110</v>
      </c>
      <c r="B51" s="61">
        <v>7.0000000000000007E-2</v>
      </c>
      <c r="C51" s="61" t="s">
        <v>61</v>
      </c>
      <c r="D51" s="62"/>
      <c r="E51" s="52" t="s">
        <v>61</v>
      </c>
      <c r="F51" s="52" t="s">
        <v>61</v>
      </c>
      <c r="G51" s="52" t="s">
        <v>61</v>
      </c>
    </row>
    <row r="52" spans="1:8">
      <c r="A52" s="60" t="s">
        <v>111</v>
      </c>
      <c r="B52" s="61">
        <v>7.0000000000000007E-2</v>
      </c>
      <c r="C52" s="61" t="s">
        <v>61</v>
      </c>
      <c r="D52" s="62"/>
      <c r="E52" s="52" t="s">
        <v>61</v>
      </c>
      <c r="F52" s="52" t="s">
        <v>61</v>
      </c>
      <c r="G52" s="52" t="s">
        <v>61</v>
      </c>
    </row>
    <row r="53" spans="1:8">
      <c r="A53" s="60" t="s">
        <v>112</v>
      </c>
      <c r="B53" s="61">
        <v>7.0000000000000007E-2</v>
      </c>
      <c r="C53" s="61" t="s">
        <v>61</v>
      </c>
      <c r="D53" s="62"/>
      <c r="E53" s="52" t="s">
        <v>61</v>
      </c>
      <c r="F53" s="52" t="s">
        <v>61</v>
      </c>
      <c r="G53" s="52" t="s">
        <v>61</v>
      </c>
    </row>
    <row r="54" spans="1:8">
      <c r="A54" s="60" t="s">
        <v>113</v>
      </c>
      <c r="B54" s="61">
        <v>7.0000000000000007E-2</v>
      </c>
      <c r="C54" s="61" t="s">
        <v>61</v>
      </c>
      <c r="D54" s="62"/>
      <c r="E54" s="52" t="s">
        <v>61</v>
      </c>
      <c r="F54" s="52" t="s">
        <v>61</v>
      </c>
      <c r="G54" s="52" t="s">
        <v>61</v>
      </c>
    </row>
    <row r="55" spans="1:8">
      <c r="A55" s="60" t="s">
        <v>114</v>
      </c>
      <c r="B55" s="61">
        <v>0.08</v>
      </c>
      <c r="C55" s="61" t="s">
        <v>61</v>
      </c>
      <c r="D55" s="62"/>
      <c r="E55" s="52" t="s">
        <v>61</v>
      </c>
      <c r="F55" s="52" t="s">
        <v>61</v>
      </c>
      <c r="G55" s="52" t="s">
        <v>61</v>
      </c>
      <c r="H55" s="52" t="s">
        <v>61</v>
      </c>
    </row>
    <row r="56" spans="1:8">
      <c r="A56" s="60" t="s">
        <v>115</v>
      </c>
      <c r="B56" s="61">
        <v>0.08</v>
      </c>
      <c r="C56" s="61" t="s">
        <v>61</v>
      </c>
      <c r="D56" s="62"/>
      <c r="E56" s="52" t="s">
        <v>61</v>
      </c>
      <c r="F56" s="52" t="s">
        <v>61</v>
      </c>
      <c r="G56" s="52" t="s">
        <v>61</v>
      </c>
      <c r="H56" s="52" t="s">
        <v>61</v>
      </c>
    </row>
    <row r="57" spans="1:8">
      <c r="A57" s="60" t="s">
        <v>116</v>
      </c>
      <c r="B57" s="61">
        <v>7.0000000000000007E-2</v>
      </c>
      <c r="C57" s="61" t="s">
        <v>61</v>
      </c>
      <c r="D57" s="62"/>
      <c r="E57" s="52" t="s">
        <v>61</v>
      </c>
      <c r="F57" s="52" t="s">
        <v>61</v>
      </c>
      <c r="G57" s="52" t="s">
        <v>61</v>
      </c>
    </row>
    <row r="58" spans="1:8">
      <c r="A58" s="60" t="s">
        <v>117</v>
      </c>
      <c r="B58" s="61">
        <v>7.0000000000000007E-2</v>
      </c>
      <c r="C58" s="61" t="s">
        <v>61</v>
      </c>
      <c r="D58" s="62"/>
      <c r="E58" s="52" t="s">
        <v>61</v>
      </c>
      <c r="F58" s="52" t="s">
        <v>61</v>
      </c>
      <c r="G58" s="52" t="s">
        <v>61</v>
      </c>
    </row>
    <row r="59" spans="1:8">
      <c r="A59" s="60" t="s">
        <v>118</v>
      </c>
      <c r="B59" s="61">
        <v>7.0000000000000007E-2</v>
      </c>
      <c r="C59" s="61" t="s">
        <v>61</v>
      </c>
      <c r="D59" s="62"/>
      <c r="E59" s="52" t="s">
        <v>61</v>
      </c>
      <c r="F59" s="52" t="s">
        <v>61</v>
      </c>
      <c r="G59" s="52" t="s">
        <v>61</v>
      </c>
    </row>
    <row r="60" spans="1:8">
      <c r="A60" s="60" t="s">
        <v>119</v>
      </c>
      <c r="B60" s="61">
        <v>7.0000000000000007E-2</v>
      </c>
      <c r="C60" s="61" t="s">
        <v>61</v>
      </c>
      <c r="D60" s="62"/>
      <c r="E60" s="52" t="s">
        <v>61</v>
      </c>
      <c r="F60" s="52" t="s">
        <v>61</v>
      </c>
      <c r="G60" s="52" t="s">
        <v>61</v>
      </c>
    </row>
    <row r="61" spans="1:8">
      <c r="A61" s="60" t="s">
        <v>120</v>
      </c>
      <c r="B61" s="61">
        <v>7.0000000000000007E-2</v>
      </c>
      <c r="C61" s="61" t="s">
        <v>61</v>
      </c>
      <c r="D61" s="62"/>
      <c r="E61" s="52" t="s">
        <v>61</v>
      </c>
      <c r="F61" s="52" t="s">
        <v>61</v>
      </c>
      <c r="G61" s="52" t="s">
        <v>61</v>
      </c>
    </row>
    <row r="62" spans="1:8">
      <c r="A62" s="60" t="s">
        <v>121</v>
      </c>
      <c r="B62" s="61">
        <v>7.7499999999999999E-2</v>
      </c>
      <c r="C62" s="61" t="s">
        <v>61</v>
      </c>
      <c r="D62" s="62" t="s">
        <v>61</v>
      </c>
      <c r="E62" s="52" t="s">
        <v>61</v>
      </c>
      <c r="G62" s="52" t="s">
        <v>61</v>
      </c>
      <c r="H62" s="52" t="s">
        <v>61</v>
      </c>
    </row>
    <row r="63" spans="1:8">
      <c r="A63" s="60" t="s">
        <v>122</v>
      </c>
      <c r="B63" s="61">
        <v>7.0000000000000007E-2</v>
      </c>
      <c r="C63" s="61" t="s">
        <v>61</v>
      </c>
      <c r="D63" s="62"/>
      <c r="E63" s="52" t="s">
        <v>61</v>
      </c>
      <c r="F63" s="52" t="s">
        <v>61</v>
      </c>
      <c r="G63" s="52" t="s">
        <v>61</v>
      </c>
    </row>
    <row r="64" spans="1:8">
      <c r="A64" s="60" t="s">
        <v>123</v>
      </c>
      <c r="B64" s="61">
        <v>0.08</v>
      </c>
      <c r="C64" s="61" t="s">
        <v>61</v>
      </c>
      <c r="D64" s="62"/>
      <c r="E64" s="52" t="s">
        <v>61</v>
      </c>
      <c r="F64" s="52" t="s">
        <v>61</v>
      </c>
      <c r="G64" s="52" t="s">
        <v>61</v>
      </c>
      <c r="H64" s="52" t="s">
        <v>61</v>
      </c>
    </row>
    <row r="65" spans="1:8">
      <c r="A65" s="60" t="s">
        <v>124</v>
      </c>
      <c r="B65" s="61">
        <v>7.0000000000000007E-2</v>
      </c>
      <c r="C65" s="61" t="s">
        <v>61</v>
      </c>
      <c r="D65" s="62"/>
      <c r="E65" s="52" t="s">
        <v>61</v>
      </c>
      <c r="F65" s="52" t="s">
        <v>61</v>
      </c>
      <c r="G65" s="52" t="s">
        <v>61</v>
      </c>
    </row>
    <row r="66" spans="1:8">
      <c r="A66" s="60" t="s">
        <v>125</v>
      </c>
      <c r="B66" s="61">
        <v>7.0000000000000007E-2</v>
      </c>
      <c r="C66" s="61" t="s">
        <v>61</v>
      </c>
      <c r="D66" s="62"/>
      <c r="E66" s="52" t="s">
        <v>61</v>
      </c>
      <c r="F66" s="52" t="s">
        <v>61</v>
      </c>
      <c r="G66" s="52" t="s">
        <v>61</v>
      </c>
    </row>
    <row r="67" spans="1:8">
      <c r="A67" s="60" t="s">
        <v>126</v>
      </c>
      <c r="B67" s="61">
        <v>7.0000000000000007E-2</v>
      </c>
      <c r="C67" s="61" t="s">
        <v>61</v>
      </c>
      <c r="D67" s="62"/>
      <c r="E67" s="52" t="s">
        <v>61</v>
      </c>
      <c r="F67" s="52" t="s">
        <v>61</v>
      </c>
      <c r="G67" s="52" t="s">
        <v>61</v>
      </c>
    </row>
    <row r="68" spans="1:8">
      <c r="A68" s="60" t="s">
        <v>127</v>
      </c>
      <c r="B68" s="61">
        <v>7.0000000000000007E-2</v>
      </c>
      <c r="C68" s="61" t="s">
        <v>61</v>
      </c>
      <c r="D68" s="62"/>
      <c r="E68" s="52" t="s">
        <v>61</v>
      </c>
      <c r="F68" s="52" t="s">
        <v>61</v>
      </c>
      <c r="G68" s="52" t="s">
        <v>61</v>
      </c>
    </row>
    <row r="69" spans="1:8">
      <c r="A69" s="60" t="s">
        <v>128</v>
      </c>
      <c r="B69" s="61">
        <v>0.06</v>
      </c>
      <c r="C69" s="61" t="s">
        <v>61</v>
      </c>
      <c r="D69" s="62"/>
      <c r="F69" s="52" t="s">
        <v>61</v>
      </c>
      <c r="G69" s="52" t="s">
        <v>61</v>
      </c>
    </row>
    <row r="70" spans="1:8">
      <c r="A70" s="60" t="s">
        <v>129</v>
      </c>
      <c r="B70" s="61">
        <v>7.0000000000000007E-2</v>
      </c>
      <c r="C70" s="61" t="s">
        <v>61</v>
      </c>
      <c r="D70" s="62"/>
      <c r="E70" s="52" t="s">
        <v>61</v>
      </c>
      <c r="F70" s="52" t="s">
        <v>61</v>
      </c>
      <c r="G70" s="52" t="s">
        <v>61</v>
      </c>
    </row>
    <row r="71" spans="1:8">
      <c r="A71" s="60" t="s">
        <v>130</v>
      </c>
      <c r="B71" s="61">
        <v>7.0000000000000007E-2</v>
      </c>
      <c r="C71" s="61" t="s">
        <v>61</v>
      </c>
      <c r="D71" s="62"/>
      <c r="E71" s="52" t="s">
        <v>61</v>
      </c>
      <c r="F71" s="52" t="s">
        <v>61</v>
      </c>
      <c r="G71" s="52" t="s">
        <v>61</v>
      </c>
    </row>
    <row r="72" spans="1:8">
      <c r="A72" s="60" t="s">
        <v>131</v>
      </c>
      <c r="B72" s="61">
        <v>0.08</v>
      </c>
      <c r="C72" s="61" t="s">
        <v>61</v>
      </c>
      <c r="D72" s="62"/>
      <c r="E72" s="52" t="s">
        <v>61</v>
      </c>
      <c r="F72" s="52" t="s">
        <v>61</v>
      </c>
      <c r="G72" s="52" t="s">
        <v>61</v>
      </c>
      <c r="H72" s="52" t="s">
        <v>61</v>
      </c>
    </row>
    <row r="73" spans="1:8">
      <c r="A73" s="60" t="s">
        <v>132</v>
      </c>
      <c r="B73" s="61">
        <v>7.0000000000000007E-2</v>
      </c>
      <c r="C73" s="61" t="s">
        <v>61</v>
      </c>
      <c r="D73" s="62"/>
      <c r="E73" s="52" t="s">
        <v>61</v>
      </c>
      <c r="F73" s="52" t="s">
        <v>61</v>
      </c>
      <c r="G73" s="52" t="s">
        <v>61</v>
      </c>
    </row>
    <row r="74" spans="1:8">
      <c r="A74" s="60" t="s">
        <v>133</v>
      </c>
      <c r="B74" s="61">
        <v>0.08</v>
      </c>
      <c r="C74" s="61" t="s">
        <v>61</v>
      </c>
      <c r="D74" s="62"/>
      <c r="E74" s="52" t="s">
        <v>61</v>
      </c>
      <c r="F74" s="52" t="s">
        <v>61</v>
      </c>
      <c r="G74" s="52" t="s">
        <v>61</v>
      </c>
      <c r="H74" s="52" t="s">
        <v>61</v>
      </c>
    </row>
    <row r="75" spans="1:8">
      <c r="A75" s="60" t="s">
        <v>134</v>
      </c>
      <c r="B75" s="61">
        <v>7.0000000000000007E-2</v>
      </c>
      <c r="C75" s="61" t="s">
        <v>61</v>
      </c>
      <c r="D75" s="62"/>
      <c r="E75" s="52" t="s">
        <v>61</v>
      </c>
      <c r="F75" s="52" t="s">
        <v>61</v>
      </c>
      <c r="G75" s="52" t="s">
        <v>61</v>
      </c>
    </row>
    <row r="76" spans="1:8">
      <c r="A76" s="60" t="s">
        <v>135</v>
      </c>
      <c r="B76" s="61">
        <v>7.0000000000000007E-2</v>
      </c>
      <c r="C76" s="61" t="s">
        <v>61</v>
      </c>
      <c r="D76" s="62"/>
      <c r="E76" s="52" t="s">
        <v>61</v>
      </c>
      <c r="F76" s="52" t="s">
        <v>61</v>
      </c>
      <c r="G76" s="52" t="s">
        <v>61</v>
      </c>
    </row>
    <row r="77" spans="1:8">
      <c r="A77" s="60" t="s">
        <v>136</v>
      </c>
      <c r="B77" s="61">
        <v>7.0000000000000007E-2</v>
      </c>
      <c r="C77" s="61" t="s">
        <v>61</v>
      </c>
      <c r="D77" s="62"/>
      <c r="E77" s="52" t="s">
        <v>61</v>
      </c>
      <c r="F77" s="52" t="s">
        <v>61</v>
      </c>
      <c r="G77" s="52" t="s">
        <v>61</v>
      </c>
    </row>
    <row r="78" spans="1:8">
      <c r="A78" s="60" t="s">
        <v>137</v>
      </c>
      <c r="B78" s="61">
        <v>7.0000000000000007E-2</v>
      </c>
      <c r="C78" s="61" t="s">
        <v>61</v>
      </c>
      <c r="D78" s="62"/>
      <c r="E78" s="52" t="s">
        <v>61</v>
      </c>
      <c r="F78" s="52" t="s">
        <v>61</v>
      </c>
      <c r="G78" s="52" t="s">
        <v>61</v>
      </c>
    </row>
    <row r="79" spans="1:8">
      <c r="A79" s="60" t="s">
        <v>138</v>
      </c>
      <c r="B79" s="61">
        <v>7.0000000000000007E-2</v>
      </c>
      <c r="C79" s="61" t="s">
        <v>61</v>
      </c>
      <c r="D79" s="62"/>
      <c r="E79" s="52" t="s">
        <v>61</v>
      </c>
      <c r="F79" s="52" t="s">
        <v>61</v>
      </c>
      <c r="G79" s="52" t="s">
        <v>61</v>
      </c>
    </row>
    <row r="80" spans="1:8">
      <c r="A80" s="60" t="s">
        <v>139</v>
      </c>
      <c r="B80" s="61">
        <v>7.0000000000000007E-2</v>
      </c>
      <c r="C80" s="61" t="s">
        <v>61</v>
      </c>
      <c r="D80" s="62"/>
      <c r="E80" s="52" t="s">
        <v>61</v>
      </c>
      <c r="F80" s="52" t="s">
        <v>61</v>
      </c>
      <c r="G80" s="52" t="s">
        <v>61</v>
      </c>
    </row>
    <row r="81" spans="1:8">
      <c r="A81" s="60" t="s">
        <v>140</v>
      </c>
      <c r="B81" s="61">
        <v>7.0000000000000007E-2</v>
      </c>
      <c r="C81" s="61" t="s">
        <v>61</v>
      </c>
      <c r="D81" s="62"/>
      <c r="E81" s="52" t="s">
        <v>61</v>
      </c>
      <c r="F81" s="52" t="s">
        <v>61</v>
      </c>
      <c r="G81" s="52" t="s">
        <v>61</v>
      </c>
    </row>
    <row r="82" spans="1:8">
      <c r="A82" s="60" t="s">
        <v>141</v>
      </c>
      <c r="B82" s="61">
        <v>0.08</v>
      </c>
      <c r="C82" s="61" t="s">
        <v>61</v>
      </c>
      <c r="D82" s="62"/>
      <c r="E82" s="52" t="s">
        <v>61</v>
      </c>
      <c r="F82" s="52" t="s">
        <v>61</v>
      </c>
      <c r="G82" s="52" t="s">
        <v>61</v>
      </c>
      <c r="H82" s="52" t="s">
        <v>61</v>
      </c>
    </row>
    <row r="83" spans="1:8">
      <c r="A83" s="60" t="s">
        <v>142</v>
      </c>
      <c r="B83" s="61">
        <v>0.08</v>
      </c>
      <c r="C83" s="61" t="s">
        <v>61</v>
      </c>
      <c r="D83" s="62"/>
      <c r="E83" s="52" t="s">
        <v>61</v>
      </c>
      <c r="F83" s="52" t="s">
        <v>61</v>
      </c>
      <c r="G83" s="52" t="s">
        <v>61</v>
      </c>
      <c r="H83" s="52" t="s">
        <v>61</v>
      </c>
    </row>
    <row r="84" spans="1:8">
      <c r="A84" s="60" t="s">
        <v>143</v>
      </c>
      <c r="B84" s="61">
        <v>0.08</v>
      </c>
      <c r="C84" s="61" t="s">
        <v>61</v>
      </c>
      <c r="D84" s="62"/>
      <c r="E84" s="52" t="s">
        <v>61</v>
      </c>
      <c r="F84" s="52" t="s">
        <v>61</v>
      </c>
      <c r="G84" s="52" t="s">
        <v>61</v>
      </c>
      <c r="H84" s="52" t="s">
        <v>61</v>
      </c>
    </row>
    <row r="85" spans="1:8">
      <c r="A85" s="60" t="s">
        <v>144</v>
      </c>
      <c r="B85" s="61">
        <v>0.08</v>
      </c>
      <c r="C85" s="61" t="s">
        <v>61</v>
      </c>
      <c r="D85" s="62"/>
      <c r="E85" s="52" t="s">
        <v>61</v>
      </c>
      <c r="F85" s="52" t="s">
        <v>61</v>
      </c>
      <c r="G85" s="52" t="s">
        <v>61</v>
      </c>
      <c r="H85" s="52" t="s">
        <v>61</v>
      </c>
    </row>
    <row r="86" spans="1:8">
      <c r="A86" s="60" t="s">
        <v>145</v>
      </c>
      <c r="B86" s="61">
        <v>7.0000000000000007E-2</v>
      </c>
      <c r="C86" s="61" t="s">
        <v>61</v>
      </c>
      <c r="D86" s="62"/>
      <c r="E86" s="52" t="s">
        <v>61</v>
      </c>
      <c r="F86" s="52" t="s">
        <v>61</v>
      </c>
      <c r="G86" s="52" t="s">
        <v>61</v>
      </c>
    </row>
    <row r="87" spans="1:8">
      <c r="A87" s="60" t="s">
        <v>146</v>
      </c>
      <c r="B87" s="61">
        <v>7.0000000000000007E-2</v>
      </c>
      <c r="C87" s="61" t="s">
        <v>61</v>
      </c>
      <c r="D87" s="62"/>
      <c r="E87" s="52" t="s">
        <v>61</v>
      </c>
      <c r="F87" s="52" t="s">
        <v>61</v>
      </c>
      <c r="G87" s="52" t="s">
        <v>61</v>
      </c>
    </row>
    <row r="88" spans="1:8">
      <c r="A88" s="60" t="s">
        <v>147</v>
      </c>
      <c r="B88" s="61">
        <v>7.0000000000000007E-2</v>
      </c>
      <c r="C88" s="61" t="s">
        <v>61</v>
      </c>
      <c r="D88" s="62"/>
      <c r="E88" s="52" t="s">
        <v>61</v>
      </c>
      <c r="F88" s="52" t="s">
        <v>61</v>
      </c>
      <c r="G88" s="52" t="s">
        <v>61</v>
      </c>
    </row>
    <row r="89" spans="1:8">
      <c r="A89" s="60" t="s">
        <v>148</v>
      </c>
      <c r="B89" s="61">
        <v>0.08</v>
      </c>
      <c r="C89" s="61" t="s">
        <v>61</v>
      </c>
      <c r="D89" s="62"/>
      <c r="E89" s="52" t="s">
        <v>61</v>
      </c>
      <c r="F89" s="52" t="s">
        <v>61</v>
      </c>
      <c r="G89" s="52" t="s">
        <v>61</v>
      </c>
      <c r="H89" s="52" t="s">
        <v>61</v>
      </c>
    </row>
    <row r="90" spans="1:8">
      <c r="A90" s="60" t="s">
        <v>149</v>
      </c>
      <c r="B90" s="61">
        <v>7.0000000000000007E-2</v>
      </c>
      <c r="C90" s="61" t="s">
        <v>61</v>
      </c>
      <c r="D90" s="62"/>
      <c r="E90" s="52" t="s">
        <v>61</v>
      </c>
      <c r="F90" s="52" t="s">
        <v>61</v>
      </c>
      <c r="G90" s="52" t="s">
        <v>61</v>
      </c>
    </row>
    <row r="91" spans="1:8">
      <c r="A91" s="60" t="s">
        <v>150</v>
      </c>
      <c r="B91" s="61">
        <v>7.0000000000000007E-2</v>
      </c>
      <c r="C91" s="61" t="s">
        <v>61</v>
      </c>
      <c r="D91" s="62"/>
      <c r="E91" s="52" t="s">
        <v>61</v>
      </c>
      <c r="F91" s="52" t="s">
        <v>61</v>
      </c>
      <c r="G91" s="52" t="s">
        <v>61</v>
      </c>
    </row>
    <row r="92" spans="1:8">
      <c r="A92" s="60" t="s">
        <v>151</v>
      </c>
      <c r="B92" s="61">
        <v>0.08</v>
      </c>
      <c r="C92" s="61" t="s">
        <v>61</v>
      </c>
      <c r="D92" s="62"/>
      <c r="E92" s="52" t="s">
        <v>61</v>
      </c>
      <c r="F92" s="52" t="s">
        <v>61</v>
      </c>
      <c r="G92" s="52" t="s">
        <v>61</v>
      </c>
      <c r="H92" s="52" t="s">
        <v>61</v>
      </c>
    </row>
    <row r="93" spans="1:8">
      <c r="A93" s="60" t="s">
        <v>152</v>
      </c>
      <c r="B93" s="61">
        <v>7.0000000000000007E-2</v>
      </c>
      <c r="C93" s="61" t="s">
        <v>61</v>
      </c>
      <c r="D93" s="62"/>
      <c r="E93" s="52" t="s">
        <v>61</v>
      </c>
      <c r="F93" s="52" t="s">
        <v>61</v>
      </c>
      <c r="G93" s="52" t="s">
        <v>61</v>
      </c>
    </row>
    <row r="94" spans="1:8">
      <c r="A94" s="60" t="s">
        <v>153</v>
      </c>
      <c r="B94" s="61">
        <v>7.0000000000000007E-2</v>
      </c>
      <c r="C94" s="61" t="s">
        <v>61</v>
      </c>
      <c r="D94" s="62"/>
      <c r="E94" s="52" t="s">
        <v>61</v>
      </c>
      <c r="F94" s="52" t="s">
        <v>61</v>
      </c>
      <c r="G94" s="52" t="s">
        <v>61</v>
      </c>
    </row>
    <row r="95" spans="1:8">
      <c r="A95" s="60" t="s">
        <v>154</v>
      </c>
      <c r="B95" s="61">
        <v>7.0000000000000007E-2</v>
      </c>
      <c r="C95" s="61" t="s">
        <v>61</v>
      </c>
      <c r="D95" s="62"/>
      <c r="E95" s="52" t="s">
        <v>61</v>
      </c>
      <c r="F95" s="52" t="s">
        <v>61</v>
      </c>
      <c r="G95" s="52" t="s">
        <v>61</v>
      </c>
    </row>
    <row r="96" spans="1:8">
      <c r="A96" s="60" t="s">
        <v>155</v>
      </c>
      <c r="B96" s="61">
        <v>0.08</v>
      </c>
      <c r="C96" s="61" t="s">
        <v>61</v>
      </c>
      <c r="D96" s="62"/>
      <c r="E96" s="52" t="s">
        <v>61</v>
      </c>
      <c r="F96" s="52" t="s">
        <v>61</v>
      </c>
      <c r="G96" s="52" t="s">
        <v>61</v>
      </c>
      <c r="H96" s="52" t="s">
        <v>61</v>
      </c>
    </row>
    <row r="97" spans="1:9">
      <c r="A97" s="60" t="s">
        <v>156</v>
      </c>
      <c r="B97" s="61">
        <v>7.0000000000000007E-2</v>
      </c>
      <c r="C97" s="61" t="s">
        <v>61</v>
      </c>
      <c r="D97" s="62"/>
      <c r="E97" s="52" t="s">
        <v>61</v>
      </c>
      <c r="F97" s="52" t="s">
        <v>61</v>
      </c>
      <c r="G97" s="52" t="s">
        <v>61</v>
      </c>
    </row>
    <row r="98" spans="1:9">
      <c r="A98" s="60" t="s">
        <v>157</v>
      </c>
      <c r="B98" s="61">
        <v>0.08</v>
      </c>
      <c r="C98" s="61" t="s">
        <v>61</v>
      </c>
      <c r="D98" s="62"/>
      <c r="E98" s="52" t="s">
        <v>61</v>
      </c>
      <c r="F98" s="52" t="s">
        <v>61</v>
      </c>
      <c r="G98" s="52" t="s">
        <v>61</v>
      </c>
      <c r="H98" s="52" t="s">
        <v>61</v>
      </c>
    </row>
    <row r="99" spans="1:9">
      <c r="A99" s="60" t="s">
        <v>158</v>
      </c>
      <c r="B99" s="61">
        <v>0.08</v>
      </c>
      <c r="C99" s="61" t="s">
        <v>61</v>
      </c>
      <c r="D99" s="62"/>
      <c r="E99" s="52" t="s">
        <v>61</v>
      </c>
      <c r="F99" s="52" t="s">
        <v>61</v>
      </c>
      <c r="G99" s="52" t="s">
        <v>61</v>
      </c>
      <c r="H99" s="52" t="s">
        <v>61</v>
      </c>
    </row>
    <row r="100" spans="1:9">
      <c r="A100" s="60" t="s">
        <v>159</v>
      </c>
      <c r="B100" s="61">
        <v>7.0000000000000007E-2</v>
      </c>
      <c r="C100" s="61" t="s">
        <v>61</v>
      </c>
      <c r="D100" s="62"/>
      <c r="E100" s="52" t="s">
        <v>61</v>
      </c>
      <c r="F100" s="52" t="s">
        <v>61</v>
      </c>
      <c r="G100" s="52" t="s">
        <v>61</v>
      </c>
    </row>
    <row r="101" spans="1:9">
      <c r="A101" s="60" t="s">
        <v>160</v>
      </c>
      <c r="B101" s="61">
        <v>7.0000000000000007E-2</v>
      </c>
      <c r="C101" s="61" t="s">
        <v>61</v>
      </c>
      <c r="D101" s="62"/>
      <c r="E101" s="52" t="s">
        <v>61</v>
      </c>
      <c r="F101" s="52" t="s">
        <v>61</v>
      </c>
      <c r="G101" s="52" t="s">
        <v>61</v>
      </c>
    </row>
    <row r="102" spans="1:9">
      <c r="A102" s="60" t="s">
        <v>161</v>
      </c>
      <c r="B102" s="61">
        <v>7.0000000000000007E-2</v>
      </c>
      <c r="C102" s="61" t="s">
        <v>61</v>
      </c>
      <c r="D102" s="62"/>
      <c r="E102" s="52" t="s">
        <v>61</v>
      </c>
      <c r="F102" s="52" t="s">
        <v>61</v>
      </c>
      <c r="G102" s="52" t="s">
        <v>61</v>
      </c>
    </row>
    <row r="103" spans="1:9">
      <c r="A103" s="60" t="s">
        <v>162</v>
      </c>
      <c r="B103" s="61">
        <v>7.0000000000000007E-2</v>
      </c>
      <c r="C103" s="61" t="s">
        <v>61</v>
      </c>
      <c r="D103" s="62"/>
      <c r="E103" s="52" t="s">
        <v>61</v>
      </c>
      <c r="F103" s="52" t="s">
        <v>61</v>
      </c>
      <c r="G103" s="52" t="s">
        <v>61</v>
      </c>
    </row>
    <row r="104" spans="1:9">
      <c r="A104" s="60" t="s">
        <v>163</v>
      </c>
      <c r="B104" s="61">
        <v>7.0000000000000007E-2</v>
      </c>
      <c r="C104" s="61" t="s">
        <v>61</v>
      </c>
      <c r="D104" s="62"/>
      <c r="E104" s="52" t="s">
        <v>61</v>
      </c>
      <c r="F104" s="52" t="s">
        <v>61</v>
      </c>
      <c r="G104" s="52" t="s">
        <v>61</v>
      </c>
    </row>
    <row r="105" spans="1:9">
      <c r="A105" s="60" t="s">
        <v>164</v>
      </c>
      <c r="B105" s="61">
        <v>0.08</v>
      </c>
      <c r="C105" s="61" t="s">
        <v>61</v>
      </c>
      <c r="D105" s="62"/>
      <c r="E105" s="52" t="s">
        <v>61</v>
      </c>
      <c r="F105" s="52" t="s">
        <v>61</v>
      </c>
      <c r="G105" s="52" t="s">
        <v>61</v>
      </c>
      <c r="H105" s="52" t="s">
        <v>61</v>
      </c>
    </row>
    <row r="106" spans="1:9">
      <c r="A106" s="60" t="s">
        <v>165</v>
      </c>
      <c r="B106" s="61">
        <v>7.0000000000000007E-2</v>
      </c>
      <c r="C106" s="61" t="s">
        <v>61</v>
      </c>
      <c r="D106" s="62"/>
      <c r="E106" s="52" t="s">
        <v>61</v>
      </c>
      <c r="F106" s="52" t="s">
        <v>61</v>
      </c>
      <c r="G106" s="52" t="s">
        <v>61</v>
      </c>
    </row>
    <row r="107" spans="1:9">
      <c r="A107" s="60" t="s">
        <v>166</v>
      </c>
      <c r="B107" s="61">
        <v>7.0000000000000007E-2</v>
      </c>
      <c r="C107" s="61" t="s">
        <v>61</v>
      </c>
      <c r="D107" s="62"/>
      <c r="E107" s="52" t="s">
        <v>61</v>
      </c>
      <c r="F107" s="52" t="s">
        <v>61</v>
      </c>
      <c r="G107" s="52" t="s">
        <v>61</v>
      </c>
    </row>
    <row r="108" spans="1:9">
      <c r="A108" s="60" t="s">
        <v>167</v>
      </c>
      <c r="B108" s="61">
        <v>0.08</v>
      </c>
      <c r="C108" s="61" t="s">
        <v>61</v>
      </c>
      <c r="D108" s="62"/>
      <c r="E108" s="52" t="s">
        <v>61</v>
      </c>
      <c r="G108" s="52" t="s">
        <v>61</v>
      </c>
      <c r="H108" s="52" t="s">
        <v>61</v>
      </c>
      <c r="I108" s="52" t="s">
        <v>61</v>
      </c>
    </row>
    <row r="109" spans="1:9">
      <c r="A109" s="60" t="s">
        <v>168</v>
      </c>
      <c r="B109" s="61">
        <v>7.0000000000000007E-2</v>
      </c>
      <c r="C109" s="61" t="s">
        <v>61</v>
      </c>
      <c r="D109" s="62"/>
      <c r="E109" s="52" t="s">
        <v>61</v>
      </c>
      <c r="F109" s="52" t="s">
        <v>61</v>
      </c>
      <c r="G109" s="52" t="s">
        <v>61</v>
      </c>
    </row>
    <row r="110" spans="1:9">
      <c r="A110" s="60" t="s">
        <v>169</v>
      </c>
      <c r="B110" s="61">
        <v>7.0000000000000007E-2</v>
      </c>
      <c r="C110" s="61" t="s">
        <v>61</v>
      </c>
      <c r="D110" s="62"/>
      <c r="E110" s="52" t="s">
        <v>61</v>
      </c>
      <c r="F110" s="52" t="s">
        <v>61</v>
      </c>
      <c r="G110" s="52" t="s">
        <v>61</v>
      </c>
    </row>
    <row r="111" spans="1:9">
      <c r="A111" s="60" t="s">
        <v>170</v>
      </c>
      <c r="B111" s="61">
        <v>7.0000000000000007E-2</v>
      </c>
      <c r="C111" s="61" t="s">
        <v>61</v>
      </c>
      <c r="D111" s="62"/>
      <c r="E111" s="52" t="s">
        <v>61</v>
      </c>
      <c r="F111" s="52" t="s">
        <v>61</v>
      </c>
      <c r="G111" s="52" t="s">
        <v>61</v>
      </c>
    </row>
    <row r="112" spans="1:9">
      <c r="A112" s="60" t="s">
        <v>171</v>
      </c>
      <c r="B112" s="61">
        <v>7.0000000000000007E-2</v>
      </c>
      <c r="C112" s="61" t="s">
        <v>61</v>
      </c>
      <c r="D112" s="62"/>
      <c r="E112" s="52" t="s">
        <v>61</v>
      </c>
      <c r="F112" s="52" t="s">
        <v>61</v>
      </c>
      <c r="G112" s="52" t="s">
        <v>61</v>
      </c>
    </row>
    <row r="113" spans="1:10">
      <c r="A113" s="60" t="s">
        <v>172</v>
      </c>
      <c r="B113" s="61">
        <v>7.0000000000000007E-2</v>
      </c>
      <c r="C113" s="61" t="s">
        <v>61</v>
      </c>
      <c r="D113" s="62"/>
      <c r="E113" s="52" t="s">
        <v>61</v>
      </c>
      <c r="F113" s="52" t="s">
        <v>61</v>
      </c>
      <c r="G113" s="52" t="s">
        <v>61</v>
      </c>
    </row>
    <row r="114" spans="1:10">
      <c r="A114" s="60" t="s">
        <v>173</v>
      </c>
      <c r="B114" s="61">
        <v>7.0000000000000007E-2</v>
      </c>
      <c r="C114" s="61" t="s">
        <v>61</v>
      </c>
      <c r="D114" s="62"/>
      <c r="E114" s="52" t="s">
        <v>61</v>
      </c>
      <c r="F114" s="52" t="s">
        <v>61</v>
      </c>
      <c r="G114" s="52" t="s">
        <v>61</v>
      </c>
    </row>
    <row r="115" spans="1:10">
      <c r="A115" s="60" t="s">
        <v>174</v>
      </c>
      <c r="B115" s="61">
        <v>7.0000000000000007E-2</v>
      </c>
      <c r="C115" s="61" t="s">
        <v>61</v>
      </c>
      <c r="D115" s="62"/>
      <c r="E115" s="52" t="s">
        <v>61</v>
      </c>
      <c r="F115" s="52" t="s">
        <v>61</v>
      </c>
      <c r="G115" s="52" t="s">
        <v>61</v>
      </c>
    </row>
    <row r="116" spans="1:10">
      <c r="A116" s="60" t="s">
        <v>175</v>
      </c>
      <c r="B116" s="61">
        <v>7.0000000000000007E-2</v>
      </c>
      <c r="C116" s="61" t="s">
        <v>61</v>
      </c>
      <c r="D116" s="62"/>
      <c r="E116" s="52" t="s">
        <v>61</v>
      </c>
      <c r="F116" s="52" t="s">
        <v>61</v>
      </c>
      <c r="G116" s="52" t="s">
        <v>61</v>
      </c>
    </row>
    <row r="117" spans="1:10">
      <c r="A117" s="60" t="s">
        <v>176</v>
      </c>
      <c r="B117" s="61">
        <v>7.0000000000000007E-2</v>
      </c>
      <c r="C117" s="61" t="s">
        <v>61</v>
      </c>
      <c r="D117" s="62"/>
      <c r="E117" s="52" t="s">
        <v>61</v>
      </c>
      <c r="F117" s="52" t="s">
        <v>61</v>
      </c>
      <c r="G117" s="52" t="s">
        <v>61</v>
      </c>
    </row>
    <row r="118" spans="1:10">
      <c r="A118" s="60" t="s">
        <v>177</v>
      </c>
      <c r="B118" s="61">
        <v>7.0000000000000007E-2</v>
      </c>
      <c r="C118" s="61" t="s">
        <v>61</v>
      </c>
      <c r="D118" s="62"/>
      <c r="E118" s="52" t="s">
        <v>61</v>
      </c>
      <c r="F118" s="52" t="s">
        <v>61</v>
      </c>
      <c r="G118" s="52" t="s">
        <v>61</v>
      </c>
    </row>
    <row r="119" spans="1:10">
      <c r="A119" s="60" t="s">
        <v>178</v>
      </c>
      <c r="B119" s="61">
        <v>7.0000000000000007E-2</v>
      </c>
      <c r="C119" s="61" t="s">
        <v>61</v>
      </c>
      <c r="D119" s="62"/>
      <c r="E119" s="52" t="s">
        <v>61</v>
      </c>
      <c r="F119" s="52" t="s">
        <v>61</v>
      </c>
      <c r="G119" s="52" t="s">
        <v>61</v>
      </c>
    </row>
    <row r="120" spans="1:10">
      <c r="A120" s="60" t="s">
        <v>179</v>
      </c>
      <c r="B120" s="61">
        <v>0.08</v>
      </c>
      <c r="C120" s="61" t="s">
        <v>61</v>
      </c>
      <c r="D120" s="62"/>
      <c r="E120" s="52" t="s">
        <v>61</v>
      </c>
      <c r="F120" s="52" t="s">
        <v>61</v>
      </c>
      <c r="G120" s="52" t="s">
        <v>61</v>
      </c>
      <c r="H120" s="52" t="s">
        <v>61</v>
      </c>
    </row>
    <row r="121" spans="1:10">
      <c r="A121" s="60" t="s">
        <v>180</v>
      </c>
      <c r="B121" s="61">
        <v>7.0000000000000007E-2</v>
      </c>
      <c r="C121" s="61" t="s">
        <v>61</v>
      </c>
      <c r="D121" s="62"/>
      <c r="E121" s="52" t="s">
        <v>61</v>
      </c>
      <c r="F121" s="52" t="s">
        <v>61</v>
      </c>
      <c r="G121" s="52" t="s">
        <v>61</v>
      </c>
    </row>
    <row r="122" spans="1:10">
      <c r="A122" s="60" t="s">
        <v>181</v>
      </c>
      <c r="B122" s="61">
        <v>0.08</v>
      </c>
      <c r="C122" s="61" t="s">
        <v>61</v>
      </c>
      <c r="D122" s="62"/>
      <c r="E122" s="52" t="s">
        <v>61</v>
      </c>
      <c r="F122" s="52" t="s">
        <v>61</v>
      </c>
      <c r="G122" s="52" t="s">
        <v>61</v>
      </c>
      <c r="H122" s="52" t="s">
        <v>61</v>
      </c>
    </row>
    <row r="123" spans="1:10">
      <c r="A123" s="60" t="s">
        <v>182</v>
      </c>
      <c r="B123" s="61">
        <v>0.08</v>
      </c>
      <c r="C123" s="61" t="s">
        <v>61</v>
      </c>
      <c r="D123" s="62"/>
      <c r="E123" s="52" t="s">
        <v>61</v>
      </c>
      <c r="F123" s="52" t="s">
        <v>61</v>
      </c>
      <c r="G123" s="52" t="s">
        <v>61</v>
      </c>
      <c r="H123" s="52" t="s">
        <v>61</v>
      </c>
    </row>
    <row r="124" spans="1:10">
      <c r="A124" s="60" t="s">
        <v>183</v>
      </c>
      <c r="B124" s="61">
        <v>7.0000000000000007E-2</v>
      </c>
      <c r="C124" s="61" t="s">
        <v>61</v>
      </c>
      <c r="D124" s="62"/>
      <c r="F124" s="52" t="s">
        <v>61</v>
      </c>
      <c r="G124" s="52" t="s">
        <v>61</v>
      </c>
      <c r="J124" s="52" t="s">
        <v>61</v>
      </c>
    </row>
    <row r="125" spans="1:10">
      <c r="A125" s="60" t="s">
        <v>184</v>
      </c>
      <c r="B125" s="61">
        <v>0.08</v>
      </c>
      <c r="C125" s="61" t="s">
        <v>61</v>
      </c>
      <c r="D125" s="62"/>
      <c r="E125" s="52" t="s">
        <v>61</v>
      </c>
      <c r="F125" s="52" t="s">
        <v>61</v>
      </c>
      <c r="G125" s="52" t="s">
        <v>61</v>
      </c>
      <c r="H125" s="52" t="s">
        <v>61</v>
      </c>
    </row>
    <row r="126" spans="1:10">
      <c r="A126" s="60" t="s">
        <v>185</v>
      </c>
      <c r="B126" s="61">
        <v>7.0000000000000007E-2</v>
      </c>
      <c r="C126" s="61" t="s">
        <v>61</v>
      </c>
      <c r="D126" s="62"/>
      <c r="E126" s="52" t="s">
        <v>61</v>
      </c>
      <c r="F126" s="52" t="s">
        <v>61</v>
      </c>
      <c r="G126" s="52" t="s">
        <v>61</v>
      </c>
    </row>
    <row r="127" spans="1:10">
      <c r="A127" s="60" t="s">
        <v>186</v>
      </c>
      <c r="B127" s="61">
        <v>7.0000000000000007E-2</v>
      </c>
      <c r="C127" s="61" t="s">
        <v>61</v>
      </c>
      <c r="D127" s="62"/>
      <c r="E127" s="52" t="s">
        <v>61</v>
      </c>
      <c r="F127" s="52" t="s">
        <v>61</v>
      </c>
      <c r="G127" s="52" t="s">
        <v>61</v>
      </c>
    </row>
    <row r="128" spans="1:10">
      <c r="A128" s="60" t="s">
        <v>187</v>
      </c>
      <c r="B128" s="61">
        <v>7.0000000000000007E-2</v>
      </c>
      <c r="C128" s="61" t="s">
        <v>61</v>
      </c>
      <c r="D128" s="62"/>
      <c r="E128" s="52" t="s">
        <v>61</v>
      </c>
      <c r="F128" s="52" t="s">
        <v>61</v>
      </c>
      <c r="G128" s="52" t="s">
        <v>61</v>
      </c>
    </row>
    <row r="129" spans="1:9">
      <c r="A129" s="60" t="s">
        <v>188</v>
      </c>
      <c r="B129" s="61">
        <v>7.0000000000000007E-2</v>
      </c>
      <c r="C129" s="61" t="s">
        <v>61</v>
      </c>
      <c r="D129" s="62"/>
      <c r="E129" s="52" t="s">
        <v>61</v>
      </c>
      <c r="F129" s="52" t="s">
        <v>61</v>
      </c>
      <c r="G129" s="52" t="s">
        <v>61</v>
      </c>
    </row>
    <row r="130" spans="1:9">
      <c r="A130" s="60" t="s">
        <v>189</v>
      </c>
      <c r="B130" s="61">
        <v>0.08</v>
      </c>
      <c r="C130" s="61" t="s">
        <v>61</v>
      </c>
      <c r="D130" s="62"/>
      <c r="E130" s="52" t="s">
        <v>61</v>
      </c>
      <c r="F130" s="52" t="s">
        <v>61</v>
      </c>
      <c r="G130" s="52" t="s">
        <v>61</v>
      </c>
      <c r="H130" s="52" t="s">
        <v>61</v>
      </c>
    </row>
    <row r="131" spans="1:9">
      <c r="A131" s="60" t="s">
        <v>190</v>
      </c>
      <c r="B131" s="61">
        <v>0.08</v>
      </c>
      <c r="C131" s="61" t="s">
        <v>61</v>
      </c>
      <c r="D131" s="62"/>
      <c r="E131" s="52" t="s">
        <v>61</v>
      </c>
      <c r="F131" s="52" t="s">
        <v>61</v>
      </c>
      <c r="G131" s="52" t="s">
        <v>61</v>
      </c>
      <c r="H131" s="52" t="s">
        <v>61</v>
      </c>
    </row>
    <row r="132" spans="1:9">
      <c r="A132" s="60" t="s">
        <v>191</v>
      </c>
      <c r="B132" s="61">
        <v>0.08</v>
      </c>
      <c r="C132" s="61" t="s">
        <v>61</v>
      </c>
      <c r="D132" s="62"/>
      <c r="E132" s="52" t="s">
        <v>61</v>
      </c>
      <c r="F132" s="52" t="s">
        <v>61</v>
      </c>
      <c r="G132" s="52" t="s">
        <v>61</v>
      </c>
      <c r="H132" s="52" t="s">
        <v>61</v>
      </c>
    </row>
    <row r="133" spans="1:9">
      <c r="A133" s="60" t="s">
        <v>192</v>
      </c>
      <c r="B133" s="61">
        <v>0.08</v>
      </c>
      <c r="C133" s="61" t="s">
        <v>61</v>
      </c>
      <c r="D133" s="62"/>
      <c r="E133" s="52" t="s">
        <v>61</v>
      </c>
      <c r="F133" s="52" t="s">
        <v>61</v>
      </c>
      <c r="G133" s="52" t="s">
        <v>61</v>
      </c>
      <c r="H133" s="52" t="s">
        <v>61</v>
      </c>
    </row>
    <row r="134" spans="1:9">
      <c r="A134" s="60" t="s">
        <v>193</v>
      </c>
      <c r="B134" s="61">
        <v>0.08</v>
      </c>
      <c r="C134" s="61" t="s">
        <v>61</v>
      </c>
      <c r="D134" s="62"/>
      <c r="E134" s="52" t="s">
        <v>61</v>
      </c>
      <c r="F134" s="52" t="s">
        <v>61</v>
      </c>
      <c r="G134" s="52" t="s">
        <v>61</v>
      </c>
      <c r="H134" s="52" t="s">
        <v>61</v>
      </c>
    </row>
    <row r="135" spans="1:9">
      <c r="A135" s="60" t="s">
        <v>194</v>
      </c>
      <c r="B135" s="61">
        <v>0.08</v>
      </c>
      <c r="C135" s="61" t="s">
        <v>61</v>
      </c>
      <c r="D135" s="62"/>
      <c r="E135" s="52" t="s">
        <v>61</v>
      </c>
      <c r="F135" s="52" t="s">
        <v>61</v>
      </c>
      <c r="G135" s="52" t="s">
        <v>61</v>
      </c>
      <c r="H135" s="52" t="s">
        <v>61</v>
      </c>
    </row>
    <row r="136" spans="1:9">
      <c r="A136" s="60" t="s">
        <v>195</v>
      </c>
      <c r="B136" s="61">
        <v>0.08</v>
      </c>
      <c r="C136" s="61" t="s">
        <v>61</v>
      </c>
      <c r="D136" s="62"/>
      <c r="E136" s="52" t="s">
        <v>61</v>
      </c>
      <c r="F136" s="52" t="s">
        <v>61</v>
      </c>
      <c r="G136" s="52" t="s">
        <v>61</v>
      </c>
      <c r="H136" s="52" t="s">
        <v>61</v>
      </c>
    </row>
    <row r="137" spans="1:9">
      <c r="A137" s="60" t="s">
        <v>196</v>
      </c>
      <c r="B137" s="61">
        <v>7.0000000000000007E-2</v>
      </c>
      <c r="C137" s="61" t="s">
        <v>61</v>
      </c>
      <c r="D137" s="62"/>
      <c r="E137" s="52" t="s">
        <v>61</v>
      </c>
      <c r="F137" s="52" t="s">
        <v>61</v>
      </c>
      <c r="G137" s="52" t="s">
        <v>61</v>
      </c>
    </row>
    <row r="138" spans="1:9">
      <c r="A138" s="60" t="s">
        <v>197</v>
      </c>
      <c r="B138" s="61">
        <v>7.0000000000000007E-2</v>
      </c>
      <c r="C138" s="61" t="s">
        <v>61</v>
      </c>
      <c r="D138" s="62"/>
      <c r="E138" s="52" t="s">
        <v>61</v>
      </c>
      <c r="F138" s="52" t="s">
        <v>61</v>
      </c>
      <c r="G138" s="52" t="s">
        <v>61</v>
      </c>
    </row>
    <row r="139" spans="1:9">
      <c r="A139" s="60" t="s">
        <v>198</v>
      </c>
      <c r="B139" s="61">
        <v>7.0000000000000007E-2</v>
      </c>
      <c r="C139" s="61" t="s">
        <v>61</v>
      </c>
      <c r="D139" s="62"/>
      <c r="E139" s="52" t="s">
        <v>61</v>
      </c>
      <c r="F139" s="52" t="s">
        <v>61</v>
      </c>
      <c r="G139" s="52" t="s">
        <v>61</v>
      </c>
    </row>
    <row r="140" spans="1:9">
      <c r="A140" s="60" t="s">
        <v>199</v>
      </c>
      <c r="B140" s="61">
        <v>0.08</v>
      </c>
      <c r="C140" s="61" t="s">
        <v>61</v>
      </c>
      <c r="D140" s="62"/>
      <c r="E140" s="52" t="s">
        <v>61</v>
      </c>
      <c r="F140" s="52" t="s">
        <v>61</v>
      </c>
      <c r="G140" s="52" t="s">
        <v>61</v>
      </c>
      <c r="H140" s="52" t="s">
        <v>61</v>
      </c>
    </row>
    <row r="141" spans="1:9">
      <c r="A141" s="60" t="s">
        <v>200</v>
      </c>
      <c r="B141" s="61">
        <v>7.0000000000000007E-2</v>
      </c>
      <c r="C141" s="61" t="s">
        <v>61</v>
      </c>
      <c r="D141" s="62"/>
      <c r="E141" s="52" t="s">
        <v>61</v>
      </c>
      <c r="G141" s="52" t="s">
        <v>61</v>
      </c>
      <c r="I141" s="52" t="s">
        <v>61</v>
      </c>
    </row>
    <row r="142" spans="1:9">
      <c r="A142" s="60" t="s">
        <v>201</v>
      </c>
      <c r="B142" s="61">
        <v>0.08</v>
      </c>
      <c r="C142" s="61" t="s">
        <v>61</v>
      </c>
      <c r="D142" s="62"/>
      <c r="E142" s="52" t="s">
        <v>61</v>
      </c>
      <c r="F142" s="52" t="s">
        <v>61</v>
      </c>
      <c r="G142" s="52" t="s">
        <v>61</v>
      </c>
      <c r="H142" s="52" t="s">
        <v>61</v>
      </c>
    </row>
    <row r="143" spans="1:9">
      <c r="A143" s="60" t="s">
        <v>202</v>
      </c>
      <c r="B143" s="61">
        <v>7.0000000000000007E-2</v>
      </c>
      <c r="C143" s="61" t="s">
        <v>61</v>
      </c>
      <c r="D143" s="62"/>
      <c r="E143" s="52" t="s">
        <v>61</v>
      </c>
      <c r="F143" s="52" t="s">
        <v>61</v>
      </c>
      <c r="G143" s="52" t="s">
        <v>61</v>
      </c>
    </row>
    <row r="144" spans="1:9">
      <c r="A144" s="60" t="s">
        <v>203</v>
      </c>
      <c r="B144" s="61">
        <v>7.0000000000000007E-2</v>
      </c>
      <c r="C144" s="61" t="s">
        <v>61</v>
      </c>
      <c r="D144" s="62"/>
      <c r="E144" s="52" t="s">
        <v>61</v>
      </c>
      <c r="F144" s="52" t="s">
        <v>61</v>
      </c>
      <c r="G144" s="52" t="s">
        <v>61</v>
      </c>
    </row>
    <row r="145" spans="1:8">
      <c r="A145" s="60" t="s">
        <v>204</v>
      </c>
      <c r="B145" s="61">
        <v>7.0000000000000007E-2</v>
      </c>
      <c r="C145" s="61" t="s">
        <v>61</v>
      </c>
      <c r="D145" s="62"/>
      <c r="E145" s="52" t="s">
        <v>61</v>
      </c>
      <c r="F145" s="52" t="s">
        <v>61</v>
      </c>
      <c r="G145" s="52" t="s">
        <v>61</v>
      </c>
    </row>
    <row r="146" spans="1:8">
      <c r="A146" s="60" t="s">
        <v>205</v>
      </c>
      <c r="B146" s="61">
        <v>7.0000000000000007E-2</v>
      </c>
      <c r="C146" s="61" t="s">
        <v>61</v>
      </c>
      <c r="D146" s="62"/>
      <c r="E146" s="52" t="s">
        <v>61</v>
      </c>
      <c r="F146" s="52" t="s">
        <v>61</v>
      </c>
      <c r="G146" s="52" t="s">
        <v>61</v>
      </c>
    </row>
    <row r="147" spans="1:8">
      <c r="A147" s="60" t="s">
        <v>206</v>
      </c>
      <c r="B147" s="61">
        <v>7.0000000000000007E-2</v>
      </c>
      <c r="C147" s="61" t="s">
        <v>61</v>
      </c>
      <c r="D147" s="62"/>
      <c r="E147" s="52" t="s">
        <v>61</v>
      </c>
      <c r="F147" s="52" t="s">
        <v>61</v>
      </c>
      <c r="G147" s="52" t="s">
        <v>61</v>
      </c>
    </row>
    <row r="148" spans="1:8">
      <c r="A148" s="60" t="s">
        <v>207</v>
      </c>
      <c r="B148" s="61">
        <v>7.0000000000000007E-2</v>
      </c>
      <c r="C148" s="61" t="s">
        <v>61</v>
      </c>
      <c r="D148" s="62"/>
      <c r="E148" s="52" t="s">
        <v>61</v>
      </c>
      <c r="F148" s="52" t="s">
        <v>61</v>
      </c>
      <c r="G148" s="52" t="s">
        <v>61</v>
      </c>
    </row>
    <row r="149" spans="1:8">
      <c r="A149" s="60" t="s">
        <v>208</v>
      </c>
      <c r="B149" s="61">
        <v>7.0000000000000007E-2</v>
      </c>
      <c r="C149" s="61" t="s">
        <v>61</v>
      </c>
      <c r="D149" s="62"/>
      <c r="E149" s="52" t="s">
        <v>61</v>
      </c>
      <c r="F149" s="52" t="s">
        <v>61</v>
      </c>
      <c r="G149" s="52" t="s">
        <v>61</v>
      </c>
    </row>
    <row r="150" spans="1:8">
      <c r="A150" s="60" t="s">
        <v>209</v>
      </c>
      <c r="B150" s="61">
        <v>7.0000000000000007E-2</v>
      </c>
      <c r="C150" s="61" t="s">
        <v>61</v>
      </c>
      <c r="D150" s="62"/>
      <c r="E150" s="52" t="s">
        <v>61</v>
      </c>
      <c r="F150" s="52" t="s">
        <v>61</v>
      </c>
      <c r="G150" s="52" t="s">
        <v>61</v>
      </c>
    </row>
    <row r="151" spans="1:8">
      <c r="A151" s="60" t="s">
        <v>210</v>
      </c>
      <c r="B151" s="61">
        <v>0.08</v>
      </c>
      <c r="C151" s="61" t="s">
        <v>61</v>
      </c>
      <c r="D151" s="62"/>
      <c r="E151" s="52" t="s">
        <v>61</v>
      </c>
      <c r="F151" s="52" t="s">
        <v>61</v>
      </c>
      <c r="G151" s="52" t="s">
        <v>61</v>
      </c>
      <c r="H151" s="52" t="s">
        <v>61</v>
      </c>
    </row>
    <row r="152" spans="1:8">
      <c r="A152" s="60" t="s">
        <v>211</v>
      </c>
      <c r="B152" s="61">
        <v>0.08</v>
      </c>
      <c r="C152" s="61" t="s">
        <v>61</v>
      </c>
      <c r="D152" s="62"/>
      <c r="E152" s="52" t="s">
        <v>61</v>
      </c>
      <c r="F152" s="52" t="s">
        <v>61</v>
      </c>
      <c r="G152" s="52" t="s">
        <v>61</v>
      </c>
      <c r="H152" s="52" t="s">
        <v>61</v>
      </c>
    </row>
    <row r="153" spans="1:8">
      <c r="A153" s="60" t="s">
        <v>212</v>
      </c>
      <c r="B153" s="61">
        <v>0.08</v>
      </c>
      <c r="C153" s="61" t="s">
        <v>61</v>
      </c>
      <c r="D153" s="62"/>
      <c r="E153" s="52" t="s">
        <v>61</v>
      </c>
      <c r="F153" s="52" t="s">
        <v>61</v>
      </c>
      <c r="G153" s="52" t="s">
        <v>61</v>
      </c>
      <c r="H153" s="52" t="s">
        <v>61</v>
      </c>
    </row>
    <row r="154" spans="1:8">
      <c r="A154" s="60" t="s">
        <v>213</v>
      </c>
      <c r="B154" s="61">
        <v>0.08</v>
      </c>
      <c r="C154" s="61" t="s">
        <v>61</v>
      </c>
      <c r="D154" s="62"/>
      <c r="E154" s="52" t="s">
        <v>61</v>
      </c>
      <c r="F154" s="52" t="s">
        <v>61</v>
      </c>
      <c r="G154" s="52" t="s">
        <v>61</v>
      </c>
      <c r="H154" s="52" t="s">
        <v>61</v>
      </c>
    </row>
    <row r="155" spans="1:8">
      <c r="A155" s="60" t="s">
        <v>214</v>
      </c>
      <c r="B155" s="61">
        <v>0.08</v>
      </c>
      <c r="C155" s="61" t="s">
        <v>61</v>
      </c>
      <c r="D155" s="62"/>
      <c r="E155" s="52" t="s">
        <v>61</v>
      </c>
      <c r="F155" s="52" t="s">
        <v>61</v>
      </c>
      <c r="G155" s="52" t="s">
        <v>61</v>
      </c>
      <c r="H155" s="52" t="s">
        <v>61</v>
      </c>
    </row>
    <row r="156" spans="1:8">
      <c r="A156" s="60" t="s">
        <v>215</v>
      </c>
      <c r="B156" s="61">
        <v>7.0000000000000007E-2</v>
      </c>
      <c r="C156" s="61" t="s">
        <v>61</v>
      </c>
      <c r="D156" s="62"/>
      <c r="E156" s="52" t="s">
        <v>61</v>
      </c>
      <c r="F156" s="52" t="s">
        <v>61</v>
      </c>
      <c r="G156" s="52" t="s">
        <v>61</v>
      </c>
    </row>
    <row r="157" spans="1:8">
      <c r="A157" s="60" t="s">
        <v>216</v>
      </c>
      <c r="B157" s="61">
        <v>7.0000000000000007E-2</v>
      </c>
      <c r="C157" s="61" t="s">
        <v>61</v>
      </c>
      <c r="D157" s="62"/>
      <c r="E157" s="52" t="s">
        <v>61</v>
      </c>
      <c r="F157" s="52" t="s">
        <v>61</v>
      </c>
      <c r="G157" s="52" t="s">
        <v>61</v>
      </c>
    </row>
    <row r="158" spans="1:8">
      <c r="A158" s="60" t="s">
        <v>217</v>
      </c>
      <c r="B158" s="61">
        <v>0.08</v>
      </c>
      <c r="C158" s="61" t="s">
        <v>61</v>
      </c>
      <c r="D158" s="62"/>
      <c r="E158" s="52" t="s">
        <v>61</v>
      </c>
      <c r="F158" s="52" t="s">
        <v>61</v>
      </c>
      <c r="G158" s="52" t="s">
        <v>61</v>
      </c>
      <c r="H158" s="52" t="s">
        <v>61</v>
      </c>
    </row>
    <row r="159" spans="1:8">
      <c r="A159" s="60" t="s">
        <v>218</v>
      </c>
      <c r="B159" s="61">
        <v>0.08</v>
      </c>
      <c r="C159" s="61" t="s">
        <v>61</v>
      </c>
      <c r="D159" s="62"/>
      <c r="E159" s="52" t="s">
        <v>61</v>
      </c>
      <c r="F159" s="52" t="s">
        <v>61</v>
      </c>
      <c r="G159" s="52" t="s">
        <v>61</v>
      </c>
      <c r="H159" s="52" t="s">
        <v>61</v>
      </c>
    </row>
    <row r="160" spans="1:8">
      <c r="A160" s="60" t="s">
        <v>219</v>
      </c>
      <c r="B160" s="61">
        <v>7.0000000000000007E-2</v>
      </c>
      <c r="C160" s="61" t="s">
        <v>61</v>
      </c>
      <c r="D160" s="62"/>
      <c r="E160" s="52" t="s">
        <v>61</v>
      </c>
      <c r="F160" s="52" t="s">
        <v>61</v>
      </c>
      <c r="G160" s="52" t="s">
        <v>61</v>
      </c>
    </row>
    <row r="161" spans="1:10">
      <c r="A161" s="60" t="s">
        <v>220</v>
      </c>
      <c r="B161" s="61">
        <v>7.0000000000000007E-2</v>
      </c>
      <c r="C161" s="61" t="s">
        <v>61</v>
      </c>
      <c r="D161" s="62"/>
      <c r="E161" s="52" t="s">
        <v>61</v>
      </c>
      <c r="F161" s="52" t="s">
        <v>61</v>
      </c>
      <c r="G161" s="52" t="s">
        <v>61</v>
      </c>
    </row>
    <row r="163" spans="1:10">
      <c r="A163" s="54" t="s">
        <v>221</v>
      </c>
      <c r="B163" s="63">
        <f>SUBTOTAL(103,B2:B161)</f>
        <v>160</v>
      </c>
      <c r="C163" s="63">
        <f t="shared" ref="C163:J163" si="0">SUBTOTAL(103,C2:C161)</f>
        <v>159</v>
      </c>
      <c r="D163" s="63">
        <f t="shared" si="0"/>
        <v>4</v>
      </c>
      <c r="E163" s="63">
        <f t="shared" si="0"/>
        <v>154</v>
      </c>
      <c r="F163" s="63">
        <f t="shared" si="0"/>
        <v>155</v>
      </c>
      <c r="G163" s="63">
        <f t="shared" si="0"/>
        <v>158</v>
      </c>
      <c r="H163" s="63">
        <f t="shared" si="0"/>
        <v>48</v>
      </c>
      <c r="I163" s="63">
        <f t="shared" si="0"/>
        <v>3</v>
      </c>
      <c r="J163" s="63">
        <f t="shared" si="0"/>
        <v>2</v>
      </c>
    </row>
    <row r="164" spans="1:10">
      <c r="A164" s="54" t="s">
        <v>222</v>
      </c>
      <c r="B164" s="170"/>
      <c r="C164" s="171"/>
      <c r="D164" s="171"/>
      <c r="E164" s="171"/>
      <c r="F164" s="171"/>
      <c r="G164" s="171"/>
      <c r="H164" s="171"/>
      <c r="I164" s="171"/>
      <c r="J164" s="171"/>
    </row>
    <row r="165" spans="1:10">
      <c r="A165" s="54" t="s">
        <v>42</v>
      </c>
      <c r="B165" s="207">
        <f>SUBTOTAL(101,B2:B162)</f>
        <v>7.2415625000000122E-2</v>
      </c>
      <c r="C165" s="171"/>
      <c r="D165" s="171"/>
      <c r="E165" s="171"/>
      <c r="F165" s="171"/>
      <c r="G165" s="171"/>
      <c r="H165" s="171"/>
      <c r="I165" s="171"/>
      <c r="J165" s="171"/>
    </row>
    <row r="166" spans="1:10">
      <c r="A166" s="54" t="s">
        <v>43</v>
      </c>
      <c r="B166" s="170"/>
      <c r="C166" s="171"/>
      <c r="D166" s="171"/>
      <c r="E166" s="171"/>
      <c r="F166" s="171"/>
      <c r="G166" s="171"/>
      <c r="H166" s="171"/>
      <c r="I166" s="171"/>
      <c r="J166" s="171"/>
    </row>
    <row r="167" spans="1:10">
      <c r="A167" s="54" t="s">
        <v>223</v>
      </c>
      <c r="B167" s="170"/>
      <c r="C167" s="171"/>
      <c r="D167" s="171"/>
      <c r="E167" s="171"/>
      <c r="F167" s="171"/>
      <c r="G167" s="171"/>
      <c r="H167" s="171"/>
      <c r="I167" s="171"/>
      <c r="J167" s="171"/>
    </row>
    <row r="168" spans="1:10">
      <c r="A168" s="54" t="s">
        <v>224</v>
      </c>
      <c r="B168" s="170"/>
      <c r="C168" s="171"/>
      <c r="D168" s="171"/>
      <c r="E168" s="171"/>
      <c r="F168" s="171"/>
      <c r="G168" s="171"/>
      <c r="H168" s="171"/>
      <c r="I168" s="171"/>
      <c r="J168" s="171"/>
    </row>
    <row r="170" spans="1:10">
      <c r="A170" s="54" t="s">
        <v>225</v>
      </c>
    </row>
  </sheetData>
  <autoFilter ref="A1:D161" xr:uid="{6927AF6E-EAEB-4CEC-BF8D-5734D150CFFA}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43ABD-A5FC-4355-8AD8-7ADD2A271916}">
  <sheetPr codeName="Sheet6"/>
  <dimension ref="A1:C5"/>
  <sheetViews>
    <sheetView workbookViewId="0"/>
  </sheetViews>
  <sheetFormatPr defaultRowHeight="14.4"/>
  <cols>
    <col min="1" max="1" width="25.6640625" customWidth="1"/>
    <col min="2" max="2" width="63.88671875" customWidth="1"/>
    <col min="3" max="3" width="40.44140625" customWidth="1"/>
  </cols>
  <sheetData>
    <row r="1" spans="1:3" ht="15" thickBot="1">
      <c r="A1" s="31">
        <f ca="1">NOW()</f>
        <v>44810.565029282407</v>
      </c>
      <c r="B1" s="33" t="s">
        <v>27</v>
      </c>
    </row>
    <row r="2" spans="1:3" ht="251.25" customHeight="1" thickBot="1">
      <c r="B2" s="38" t="s">
        <v>26</v>
      </c>
      <c r="C2" s="35" t="s">
        <v>479</v>
      </c>
    </row>
    <row r="4" spans="1:3" s="36" customFormat="1" ht="22.5" customHeight="1">
      <c r="A4" s="35" t="s">
        <v>28</v>
      </c>
      <c r="B4" s="37" t="s">
        <v>29</v>
      </c>
    </row>
    <row r="5" spans="1:3" s="36" customFormat="1" ht="22.5" customHeight="1">
      <c r="A5" s="35" t="s">
        <v>30</v>
      </c>
      <c r="B5" s="37" t="s">
        <v>31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578BE-4BA0-469F-B5A7-AE8A18D597BC}">
  <sheetPr codeName="Sheet9"/>
  <dimension ref="A1:M23"/>
  <sheetViews>
    <sheetView workbookViewId="0">
      <selection activeCell="B23" sqref="B23:F23"/>
    </sheetView>
  </sheetViews>
  <sheetFormatPr defaultColWidth="9.109375" defaultRowHeight="14.4"/>
  <cols>
    <col min="1" max="1" width="14.109375" customWidth="1"/>
    <col min="2" max="2" width="10.33203125" customWidth="1"/>
    <col min="6" max="6" width="9.88671875" customWidth="1"/>
    <col min="8" max="8" width="9.33203125" customWidth="1"/>
    <col min="9" max="9" width="22.109375" style="32" customWidth="1"/>
    <col min="10" max="10" width="12" customWidth="1"/>
    <col min="11" max="11" width="5.44140625" customWidth="1"/>
  </cols>
  <sheetData>
    <row r="1" spans="1:13" ht="15" thickBot="1">
      <c r="A1" s="124" t="s">
        <v>454</v>
      </c>
      <c r="B1" s="124" t="s">
        <v>465</v>
      </c>
      <c r="C1" s="124" t="s">
        <v>464</v>
      </c>
      <c r="D1" s="124" t="s">
        <v>475</v>
      </c>
      <c r="E1" s="125" t="s">
        <v>480</v>
      </c>
      <c r="F1" s="124" t="s">
        <v>453</v>
      </c>
      <c r="G1" s="124" t="s">
        <v>452</v>
      </c>
      <c r="H1" s="124"/>
      <c r="I1" s="172" t="s">
        <v>494</v>
      </c>
    </row>
    <row r="2" spans="1:13">
      <c r="A2" s="126">
        <v>1</v>
      </c>
      <c r="B2" s="183">
        <v>7.1</v>
      </c>
      <c r="C2" s="184">
        <v>12.5</v>
      </c>
      <c r="D2" s="184">
        <v>5</v>
      </c>
      <c r="E2" s="185">
        <v>18.5</v>
      </c>
      <c r="F2" s="186"/>
      <c r="G2" s="187"/>
      <c r="H2" s="188" t="s">
        <v>477</v>
      </c>
      <c r="I2" s="90">
        <f>SUM($B$2:H2)</f>
        <v>43.1</v>
      </c>
      <c r="J2" t="s">
        <v>466</v>
      </c>
      <c r="M2" s="181"/>
    </row>
    <row r="3" spans="1:13">
      <c r="A3" s="126">
        <v>2</v>
      </c>
      <c r="B3" s="183">
        <v>7.1</v>
      </c>
      <c r="C3" s="184">
        <v>12.5</v>
      </c>
      <c r="D3" s="184">
        <v>7</v>
      </c>
      <c r="E3" s="185">
        <v>18.5</v>
      </c>
      <c r="F3" s="186"/>
      <c r="G3" s="187"/>
      <c r="H3" s="188" t="s">
        <v>477</v>
      </c>
      <c r="I3" s="89">
        <f>SUM($B$2:H2)</f>
        <v>43.1</v>
      </c>
      <c r="J3" t="s">
        <v>467</v>
      </c>
      <c r="M3" s="181"/>
    </row>
    <row r="4" spans="1:13">
      <c r="A4" s="126">
        <v>3</v>
      </c>
      <c r="B4" s="183">
        <v>7.1</v>
      </c>
      <c r="C4" s="184">
        <v>12.5</v>
      </c>
      <c r="D4" s="184">
        <v>8</v>
      </c>
      <c r="E4" s="185">
        <v>18.5</v>
      </c>
      <c r="F4" s="186"/>
      <c r="G4" s="187"/>
      <c r="H4" s="188" t="s">
        <v>477</v>
      </c>
      <c r="I4" s="89">
        <f>SUM($B$2:H3)</f>
        <v>88.2</v>
      </c>
      <c r="J4" t="s">
        <v>468</v>
      </c>
      <c r="M4" s="181"/>
    </row>
    <row r="5" spans="1:13">
      <c r="A5" s="126">
        <v>4</v>
      </c>
      <c r="B5" s="183">
        <v>7.1</v>
      </c>
      <c r="C5" s="189"/>
      <c r="D5" s="184">
        <v>8</v>
      </c>
      <c r="E5" s="185">
        <v>14</v>
      </c>
      <c r="F5" s="190">
        <v>50</v>
      </c>
      <c r="G5" s="187" t="str">
        <f>("Raisa Basher")</f>
        <v>Raisa Basher</v>
      </c>
      <c r="H5" s="188" t="s">
        <v>477</v>
      </c>
      <c r="I5" s="89">
        <f>SUM($B$2:H4)</f>
        <v>134.30000000000001</v>
      </c>
      <c r="J5" t="s">
        <v>482</v>
      </c>
      <c r="M5" s="181"/>
    </row>
    <row r="6" spans="1:13">
      <c r="A6" s="126">
        <v>5</v>
      </c>
      <c r="B6" s="183">
        <v>7.1</v>
      </c>
      <c r="C6" s="184">
        <v>12.5</v>
      </c>
      <c r="D6" s="184">
        <v>8</v>
      </c>
      <c r="E6" s="185">
        <v>18.5</v>
      </c>
      <c r="F6" s="186"/>
      <c r="G6" s="187"/>
      <c r="H6" s="188" t="s">
        <v>477</v>
      </c>
      <c r="I6" s="89">
        <f>SUM($B$2:H5)</f>
        <v>213.4</v>
      </c>
      <c r="J6" t="s">
        <v>469</v>
      </c>
    </row>
    <row r="7" spans="1:13">
      <c r="A7" s="126">
        <v>6</v>
      </c>
      <c r="B7" s="183">
        <v>7.1</v>
      </c>
      <c r="C7" s="184">
        <v>12.5</v>
      </c>
      <c r="D7" s="184">
        <v>8</v>
      </c>
      <c r="E7" s="185">
        <v>18.5</v>
      </c>
      <c r="F7" s="186"/>
      <c r="G7" s="187"/>
      <c r="H7" s="188" t="s">
        <v>477</v>
      </c>
      <c r="I7" s="89">
        <f>SUM($B$2:H6)</f>
        <v>259.5</v>
      </c>
      <c r="J7" t="s">
        <v>470</v>
      </c>
    </row>
    <row r="8" spans="1:13">
      <c r="A8" s="126">
        <v>7</v>
      </c>
      <c r="B8" s="183">
        <v>7.1</v>
      </c>
      <c r="C8" s="184">
        <v>12.5</v>
      </c>
      <c r="D8" s="184">
        <v>8</v>
      </c>
      <c r="E8" s="185">
        <v>18.5</v>
      </c>
      <c r="F8" s="186"/>
      <c r="G8" s="187"/>
      <c r="H8" s="188" t="s">
        <v>477</v>
      </c>
      <c r="I8" s="89">
        <f>SUM($B$2:H7)</f>
        <v>305.60000000000002</v>
      </c>
      <c r="J8" t="s">
        <v>471</v>
      </c>
    </row>
    <row r="9" spans="1:13">
      <c r="A9" s="126">
        <v>8</v>
      </c>
      <c r="B9" s="183">
        <v>7.1</v>
      </c>
      <c r="C9" s="191"/>
      <c r="D9" s="191"/>
      <c r="E9" s="185">
        <v>14</v>
      </c>
      <c r="F9" s="190">
        <v>100</v>
      </c>
      <c r="G9" s="187"/>
      <c r="H9" s="188" t="s">
        <v>477</v>
      </c>
      <c r="I9" s="89">
        <f>SUM($B$2:H8)</f>
        <v>351.70000000000005</v>
      </c>
      <c r="J9" t="s">
        <v>481</v>
      </c>
    </row>
    <row r="10" spans="1:13">
      <c r="A10" s="126">
        <v>9</v>
      </c>
      <c r="B10" s="184">
        <v>7.2</v>
      </c>
      <c r="C10" s="184">
        <v>12.5</v>
      </c>
      <c r="D10" s="184">
        <v>8</v>
      </c>
      <c r="E10" s="185">
        <v>18.5</v>
      </c>
      <c r="F10" s="186"/>
      <c r="G10" s="187"/>
      <c r="H10" s="188" t="s">
        <v>477</v>
      </c>
      <c r="I10" s="89">
        <f>SUM($B$2:H9)</f>
        <v>472.80000000000007</v>
      </c>
      <c r="J10" t="s">
        <v>497</v>
      </c>
    </row>
    <row r="11" spans="1:13">
      <c r="A11" s="126">
        <v>10</v>
      </c>
      <c r="B11" s="184">
        <v>7.2</v>
      </c>
      <c r="C11" s="184">
        <v>12.5</v>
      </c>
      <c r="D11" s="184">
        <v>8</v>
      </c>
      <c r="E11" s="185">
        <v>18.5</v>
      </c>
      <c r="F11" s="186"/>
      <c r="G11" s="187"/>
      <c r="H11" s="188" t="s">
        <v>477</v>
      </c>
      <c r="I11" s="89">
        <f>SUM($B$2:H10)</f>
        <v>519</v>
      </c>
      <c r="J11" t="s">
        <v>498</v>
      </c>
    </row>
    <row r="12" spans="1:13">
      <c r="A12" s="126">
        <v>11</v>
      </c>
      <c r="B12" s="184">
        <v>7.2</v>
      </c>
      <c r="C12" s="184">
        <v>12.5</v>
      </c>
      <c r="D12" s="184">
        <v>8</v>
      </c>
      <c r="E12" s="185">
        <v>18.5</v>
      </c>
      <c r="F12" s="186"/>
      <c r="G12" s="187"/>
      <c r="H12" s="188" t="s">
        <v>477</v>
      </c>
      <c r="I12" s="89">
        <f>SUM($B$2:H11)</f>
        <v>565.20000000000005</v>
      </c>
      <c r="J12" t="s">
        <v>499</v>
      </c>
    </row>
    <row r="13" spans="1:13">
      <c r="A13" s="126">
        <v>12</v>
      </c>
      <c r="B13" s="184">
        <v>7.2</v>
      </c>
      <c r="C13" s="184">
        <v>12.5</v>
      </c>
      <c r="D13" s="184">
        <v>8</v>
      </c>
      <c r="E13" s="185">
        <v>18.5</v>
      </c>
      <c r="F13" s="186"/>
      <c r="G13" s="187"/>
      <c r="H13" s="188" t="s">
        <v>477</v>
      </c>
      <c r="I13" s="89">
        <f>SUM($B$2:H12)</f>
        <v>611.40000000000009</v>
      </c>
      <c r="J13" t="s">
        <v>472</v>
      </c>
    </row>
    <row r="14" spans="1:13">
      <c r="A14" s="126">
        <v>13</v>
      </c>
      <c r="B14" s="184">
        <v>7.2</v>
      </c>
      <c r="C14" s="184">
        <v>12.5</v>
      </c>
      <c r="D14" s="184">
        <v>8</v>
      </c>
      <c r="E14" s="185">
        <v>18.5</v>
      </c>
      <c r="F14" s="186"/>
      <c r="G14" s="187"/>
      <c r="H14" s="188" t="s">
        <v>477</v>
      </c>
      <c r="I14" s="89">
        <f>SUM($B$2:H13)</f>
        <v>657.60000000000014</v>
      </c>
      <c r="J14" t="s">
        <v>473</v>
      </c>
    </row>
    <row r="15" spans="1:13">
      <c r="A15" s="126">
        <v>14</v>
      </c>
      <c r="B15" s="184">
        <v>7.2</v>
      </c>
      <c r="C15" s="184">
        <v>12.5</v>
      </c>
      <c r="D15" s="184">
        <v>8</v>
      </c>
      <c r="E15" s="185">
        <v>18.5</v>
      </c>
      <c r="F15" s="186"/>
      <c r="G15" s="187"/>
      <c r="H15" s="188" t="s">
        <v>477</v>
      </c>
      <c r="I15" s="89">
        <f>SUM($B$2:H14)</f>
        <v>703.80000000000018</v>
      </c>
      <c r="J15" t="s">
        <v>474</v>
      </c>
    </row>
    <row r="16" spans="1:13" s="88" customFormat="1">
      <c r="A16" s="127">
        <v>15</v>
      </c>
      <c r="B16" s="192"/>
      <c r="C16" s="192"/>
      <c r="D16" s="192"/>
      <c r="E16" s="192"/>
      <c r="F16" s="190">
        <v>150</v>
      </c>
      <c r="G16" s="193">
        <v>100</v>
      </c>
      <c r="H16" s="188" t="s">
        <v>477</v>
      </c>
      <c r="I16" s="89">
        <f>SUM($B$2:H15)</f>
        <v>750.00000000000023</v>
      </c>
      <c r="J16" s="121" t="s">
        <v>476</v>
      </c>
      <c r="M16" s="173" t="s">
        <v>483</v>
      </c>
    </row>
    <row r="17" spans="1:9">
      <c r="A17" s="128"/>
      <c r="B17" s="118"/>
      <c r="C17" s="118"/>
      <c r="D17" s="118"/>
      <c r="E17" s="118"/>
      <c r="F17" s="118"/>
      <c r="G17" s="118"/>
      <c r="H17" s="118"/>
      <c r="I17" s="89">
        <f>SUM($B$2:H16)</f>
        <v>1000.0000000000002</v>
      </c>
    </row>
    <row r="18" spans="1:9" ht="15" thickBot="1">
      <c r="A18" s="129" t="s">
        <v>451</v>
      </c>
      <c r="B18" s="194">
        <f>SUBTOTAL(109,B2:B16)</f>
        <v>100.00000000000001</v>
      </c>
      <c r="C18" s="194">
        <f t="shared" ref="C18:G18" si="0">SUBTOTAL(109,C2:C16)</f>
        <v>150</v>
      </c>
      <c r="D18" s="194">
        <f t="shared" si="0"/>
        <v>100</v>
      </c>
      <c r="E18" s="194">
        <f t="shared" si="0"/>
        <v>250</v>
      </c>
      <c r="F18" s="194">
        <f t="shared" si="0"/>
        <v>300</v>
      </c>
      <c r="G18" s="194">
        <f t="shared" si="0"/>
        <v>100</v>
      </c>
      <c r="H18" s="130"/>
      <c r="I18" s="131"/>
    </row>
    <row r="19" spans="1:9" ht="15" thickBot="1">
      <c r="A19" s="129" t="s">
        <v>450</v>
      </c>
      <c r="B19" s="182">
        <f>SUM(B18:G18)</f>
        <v>1000</v>
      </c>
      <c r="C19" s="129"/>
      <c r="D19" s="129"/>
      <c r="E19" s="129"/>
      <c r="F19" s="129"/>
      <c r="G19" s="129"/>
      <c r="H19" s="129"/>
      <c r="I19" s="118"/>
    </row>
    <row r="20" spans="1:9">
      <c r="A20" s="174" t="str">
        <f>("Fall 2022")</f>
        <v>Fall 2022</v>
      </c>
      <c r="B20" s="129"/>
      <c r="C20" s="129"/>
      <c r="D20" s="129"/>
      <c r="E20" s="129"/>
      <c r="F20" s="129"/>
      <c r="G20" s="129"/>
      <c r="H20" s="129"/>
      <c r="I20" s="118"/>
    </row>
    <row r="21" spans="1:9">
      <c r="A21" s="132"/>
      <c r="B21" s="87">
        <v>1</v>
      </c>
      <c r="C21" s="86" t="s">
        <v>463</v>
      </c>
      <c r="D21" s="86" t="s">
        <v>461</v>
      </c>
      <c r="E21" s="86" t="s">
        <v>462</v>
      </c>
      <c r="F21" s="86" t="s">
        <v>449</v>
      </c>
    </row>
    <row r="22" spans="1:9">
      <c r="A22" s="132"/>
      <c r="B22">
        <v>1</v>
      </c>
      <c r="C22" s="86">
        <v>0.9</v>
      </c>
      <c r="D22" s="86">
        <v>0.8</v>
      </c>
      <c r="E22" s="86">
        <v>0.7</v>
      </c>
      <c r="F22" s="86">
        <v>0.6</v>
      </c>
      <c r="I22"/>
    </row>
    <row r="23" spans="1:9">
      <c r="A23" s="85"/>
      <c r="B23" s="168">
        <f>($B$19*B22)</f>
        <v>1000</v>
      </c>
      <c r="C23" s="168">
        <f t="shared" ref="C23:E23" si="1">($B$19*C22)</f>
        <v>900</v>
      </c>
      <c r="D23" s="168">
        <f t="shared" si="1"/>
        <v>800</v>
      </c>
      <c r="E23" s="168">
        <f t="shared" si="1"/>
        <v>700</v>
      </c>
      <c r="F23" s="168">
        <f>($B$19*F22)</f>
        <v>600</v>
      </c>
      <c r="I23"/>
    </row>
  </sheetData>
  <sheetProtection formatCells="0" formatColumns="0" formatRows="0" sort="0" autoFilter="0"/>
  <autoFilter ref="A1:A16" xr:uid="{FB4E941D-B935-4A10-8EE7-5CDC370A733B}"/>
  <conditionalFormatting sqref="M16">
    <cfRule type="expression" dxfId="3" priority="1">
      <formula>I16=1000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BC139-CDDC-4C72-A084-2062604C8E5E}">
  <sheetPr codeName="Sheet8" filterMode="1"/>
  <dimension ref="A1:P220"/>
  <sheetViews>
    <sheetView topLeftCell="A24" workbookViewId="0">
      <selection activeCell="E215" sqref="E215"/>
    </sheetView>
  </sheetViews>
  <sheetFormatPr defaultColWidth="9.109375" defaultRowHeight="10.199999999999999"/>
  <cols>
    <col min="1" max="1" width="9.109375" style="64"/>
    <col min="2" max="2" width="9.109375" style="65"/>
    <col min="3" max="3" width="11.5546875" style="65" bestFit="1" customWidth="1"/>
    <col min="4" max="5" width="9.109375" style="65"/>
    <col min="6" max="6" width="9.109375" style="67"/>
    <col min="7" max="8" width="9.109375" style="65"/>
    <col min="9" max="9" width="10" style="65" customWidth="1"/>
    <col min="10" max="11" width="9.109375" style="65"/>
    <col min="12" max="12" width="9.109375" style="65" customWidth="1"/>
    <col min="13" max="16384" width="9.109375" style="65"/>
  </cols>
  <sheetData>
    <row r="1" spans="1:14">
      <c r="D1" s="66"/>
      <c r="G1" s="68"/>
    </row>
    <row r="2" spans="1:14" ht="21" customHeight="1">
      <c r="A2" s="69"/>
      <c r="B2" s="70"/>
      <c r="C2" s="211" t="s">
        <v>226</v>
      </c>
      <c r="D2" s="210"/>
      <c r="E2" s="211" t="s">
        <v>227</v>
      </c>
      <c r="F2" s="210"/>
      <c r="G2" s="211" t="s">
        <v>228</v>
      </c>
      <c r="H2" s="210"/>
      <c r="I2" s="211" t="s">
        <v>229</v>
      </c>
      <c r="J2" s="212"/>
      <c r="K2" s="209" t="s">
        <v>230</v>
      </c>
      <c r="L2" s="212"/>
      <c r="M2" s="209" t="s">
        <v>231</v>
      </c>
      <c r="N2" s="210"/>
    </row>
    <row r="3" spans="1:14" ht="20.399999999999999">
      <c r="A3" s="71" t="s">
        <v>232</v>
      </c>
      <c r="B3" s="72" t="s">
        <v>233</v>
      </c>
      <c r="C3" s="138" t="s">
        <v>234</v>
      </c>
      <c r="D3" s="138" t="s">
        <v>235</v>
      </c>
      <c r="E3" s="138" t="s">
        <v>234</v>
      </c>
      <c r="F3" s="138" t="s">
        <v>235</v>
      </c>
      <c r="G3" s="138" t="s">
        <v>234</v>
      </c>
      <c r="H3" s="138" t="s">
        <v>235</v>
      </c>
      <c r="I3" s="139" t="s">
        <v>234</v>
      </c>
      <c r="J3" s="138" t="s">
        <v>235</v>
      </c>
      <c r="K3" s="138" t="s">
        <v>234</v>
      </c>
      <c r="L3" s="138" t="s">
        <v>235</v>
      </c>
      <c r="M3" s="138" t="s">
        <v>234</v>
      </c>
      <c r="N3" s="138" t="s">
        <v>235</v>
      </c>
    </row>
    <row r="4" spans="1:14">
      <c r="A4" s="71">
        <v>2012</v>
      </c>
      <c r="B4" s="73">
        <v>1</v>
      </c>
      <c r="C4" s="140">
        <v>832.47835691864032</v>
      </c>
      <c r="D4" s="141">
        <v>-9.9454952024831692E-2</v>
      </c>
      <c r="E4" s="142">
        <v>2490.6001360242681</v>
      </c>
      <c r="F4" s="141">
        <v>-6.8903767557569662E-2</v>
      </c>
      <c r="G4" s="142">
        <v>1037.3690727394639</v>
      </c>
      <c r="H4" s="141">
        <v>-9.8456136400336194E-2</v>
      </c>
      <c r="I4" s="142">
        <v>4360.4475656823724</v>
      </c>
      <c r="J4" s="141">
        <v>-8.2008372051837877E-2</v>
      </c>
      <c r="K4" s="140">
        <v>815.92757483744492</v>
      </c>
      <c r="L4" s="141"/>
      <c r="M4" s="142">
        <v>5176.3751405198173</v>
      </c>
      <c r="N4" s="141"/>
    </row>
    <row r="5" spans="1:14" hidden="1">
      <c r="A5" s="71"/>
      <c r="B5" s="73">
        <v>2</v>
      </c>
      <c r="C5" s="140">
        <v>889.20803906893389</v>
      </c>
      <c r="D5" s="141">
        <v>-9.7321921806826528E-2</v>
      </c>
      <c r="E5" s="142">
        <v>2751.3877759768657</v>
      </c>
      <c r="F5" s="141">
        <v>-6.9934311953635142E-2</v>
      </c>
      <c r="G5" s="142">
        <v>1140.7519381125123</v>
      </c>
      <c r="H5" s="141">
        <v>-8.3929854627998027E-2</v>
      </c>
      <c r="I5" s="142">
        <v>4781.3477531583121</v>
      </c>
      <c r="J5" s="141">
        <v>-7.8492875664476908E-2</v>
      </c>
      <c r="K5" s="140">
        <v>826.69448399999987</v>
      </c>
      <c r="L5" s="141"/>
      <c r="M5" s="142">
        <v>5608.0422371583118</v>
      </c>
      <c r="N5" s="141"/>
    </row>
    <row r="6" spans="1:14" hidden="1">
      <c r="A6" s="71"/>
      <c r="B6" s="73">
        <v>3</v>
      </c>
      <c r="C6" s="140">
        <v>738.01499999999999</v>
      </c>
      <c r="D6" s="141">
        <v>-0.104</v>
      </c>
      <c r="E6" s="142">
        <v>2636.4409999999998</v>
      </c>
      <c r="F6" s="141">
        <v>-0.06</v>
      </c>
      <c r="G6" s="142">
        <v>1139.1210000000001</v>
      </c>
      <c r="H6" s="141">
        <v>-4.8000000000000001E-2</v>
      </c>
      <c r="I6" s="142">
        <v>4513.6660000000002</v>
      </c>
      <c r="J6" s="141">
        <v>-6.4000000000000001E-2</v>
      </c>
      <c r="K6" s="140">
        <v>758.93299999999999</v>
      </c>
      <c r="L6" s="141"/>
      <c r="M6" s="142">
        <v>5272.6</v>
      </c>
      <c r="N6" s="141"/>
    </row>
    <row r="7" spans="1:14" hidden="1">
      <c r="A7" s="71"/>
      <c r="B7" s="73">
        <v>4</v>
      </c>
      <c r="C7" s="140">
        <v>874.93205775867045</v>
      </c>
      <c r="D7" s="141">
        <v>-0.16174166971136189</v>
      </c>
      <c r="E7" s="142">
        <v>3105.1523511871492</v>
      </c>
      <c r="F7" s="141">
        <v>-9.9865854524891495E-2</v>
      </c>
      <c r="G7" s="142">
        <v>1308.7201637295402</v>
      </c>
      <c r="H7" s="141">
        <v>-8.8504860561890691E-2</v>
      </c>
      <c r="I7" s="142">
        <v>5288.8045726753599</v>
      </c>
      <c r="J7" s="141">
        <v>-0.1080070570707572</v>
      </c>
      <c r="K7" s="140">
        <v>968.06817679743108</v>
      </c>
      <c r="L7" s="141"/>
      <c r="M7" s="142">
        <v>6256.8727494727909</v>
      </c>
      <c r="N7" s="141"/>
    </row>
    <row r="8" spans="1:14" hidden="1">
      <c r="A8" s="74"/>
      <c r="B8" s="75"/>
      <c r="C8" s="143"/>
      <c r="D8" s="138"/>
      <c r="E8" s="138"/>
      <c r="F8" s="138"/>
      <c r="G8" s="138"/>
      <c r="H8" s="138"/>
      <c r="I8" s="139"/>
      <c r="J8" s="138"/>
      <c r="K8" s="138"/>
      <c r="L8" s="144"/>
      <c r="M8" s="138"/>
      <c r="N8" s="144"/>
    </row>
    <row r="9" spans="1:14">
      <c r="A9" s="71">
        <v>2011</v>
      </c>
      <c r="B9" s="73">
        <v>1</v>
      </c>
      <c r="C9" s="140">
        <v>924.41611753951383</v>
      </c>
      <c r="D9" s="141">
        <v>-0.11</v>
      </c>
      <c r="E9" s="142">
        <v>2674.9116248607115</v>
      </c>
      <c r="F9" s="141">
        <v>-9.5039582996669092E-2</v>
      </c>
      <c r="G9" s="142">
        <v>1150.6584589212114</v>
      </c>
      <c r="H9" s="141">
        <v>-8.1490729037542897E-2</v>
      </c>
      <c r="I9" s="142">
        <v>4749.986201321437</v>
      </c>
      <c r="J9" s="141">
        <v>-9.4766233224321691E-2</v>
      </c>
      <c r="K9" s="140">
        <v>807.84908399747019</v>
      </c>
      <c r="L9" s="141"/>
      <c r="M9" s="142">
        <v>5557.8352853189072</v>
      </c>
      <c r="N9" s="141"/>
    </row>
    <row r="10" spans="1:14" hidden="1">
      <c r="A10" s="71"/>
      <c r="B10" s="73">
        <v>2</v>
      </c>
      <c r="C10" s="140">
        <v>985.07769331099564</v>
      </c>
      <c r="D10" s="141">
        <v>-8.7886234510837852E-2</v>
      </c>
      <c r="E10" s="142">
        <v>2958.272529928774</v>
      </c>
      <c r="F10" s="141">
        <v>-8.0599314000651914E-2</v>
      </c>
      <c r="G10" s="142">
        <v>1245.2670178977075</v>
      </c>
      <c r="H10" s="141">
        <v>-0.10852906164063707</v>
      </c>
      <c r="I10" s="142">
        <v>5188.6172411374773</v>
      </c>
      <c r="J10" s="141">
        <v>-8.8832561792476436E-2</v>
      </c>
      <c r="K10" s="140">
        <v>803.39580000000001</v>
      </c>
      <c r="L10" s="141"/>
      <c r="M10" s="142">
        <v>5992.0130411374776</v>
      </c>
      <c r="N10" s="141"/>
    </row>
    <row r="11" spans="1:14" hidden="1">
      <c r="A11" s="71"/>
      <c r="B11" s="73">
        <v>3</v>
      </c>
      <c r="C11" s="140">
        <v>823.33960727586339</v>
      </c>
      <c r="D11" s="141">
        <v>-0.13378157883884245</v>
      </c>
      <c r="E11" s="142">
        <v>2804.1531260594866</v>
      </c>
      <c r="F11" s="141">
        <v>-9.0221021299219301E-2</v>
      </c>
      <c r="G11" s="142">
        <v>1196.4993930847879</v>
      </c>
      <c r="H11" s="141">
        <v>-0.12917578801090823</v>
      </c>
      <c r="I11" s="142">
        <v>4823.9921264201375</v>
      </c>
      <c r="J11" s="141">
        <v>-0.10777834528856191</v>
      </c>
      <c r="K11" s="140">
        <v>732.56122800000003</v>
      </c>
      <c r="L11" s="141"/>
      <c r="M11" s="142">
        <v>5556.5533544201371</v>
      </c>
      <c r="N11" s="141"/>
    </row>
    <row r="12" spans="1:14" hidden="1">
      <c r="A12" s="71"/>
      <c r="B12" s="73">
        <v>4</v>
      </c>
      <c r="C12" s="140">
        <v>1043.7499111489944</v>
      </c>
      <c r="D12" s="141">
        <v>-9.3897874881940277E-2</v>
      </c>
      <c r="E12" s="142">
        <v>3449.6551061821888</v>
      </c>
      <c r="F12" s="141">
        <v>-6.0135003667968152E-2</v>
      </c>
      <c r="G12" s="142">
        <v>1435.7950000000001</v>
      </c>
      <c r="H12" s="141">
        <v>-0.11618979935965933</v>
      </c>
      <c r="I12" s="142">
        <v>5929.1644101836237</v>
      </c>
      <c r="J12" s="141">
        <v>-8.0292844665222324E-2</v>
      </c>
      <c r="K12" s="140">
        <v>905.58967549999988</v>
      </c>
      <c r="L12" s="141"/>
      <c r="M12" s="142">
        <v>6834.7896928311839</v>
      </c>
      <c r="N12" s="141"/>
    </row>
    <row r="13" spans="1:14" hidden="1">
      <c r="A13" s="74"/>
      <c r="B13" s="75"/>
      <c r="C13" s="140"/>
      <c r="D13" s="141"/>
      <c r="E13" s="142"/>
      <c r="F13" s="141"/>
      <c r="G13" s="142"/>
      <c r="H13" s="141"/>
      <c r="I13" s="142"/>
      <c r="J13" s="141"/>
      <c r="K13" s="140"/>
      <c r="L13" s="145"/>
      <c r="M13" s="142"/>
      <c r="N13" s="141"/>
    </row>
    <row r="14" spans="1:14">
      <c r="A14" s="71">
        <v>2010</v>
      </c>
      <c r="B14" s="73">
        <v>1</v>
      </c>
      <c r="C14" s="140">
        <v>1038.6697949882177</v>
      </c>
      <c r="D14" s="141">
        <v>-8.2514108082527071E-2</v>
      </c>
      <c r="E14" s="142">
        <v>2955.8327354453404</v>
      </c>
      <c r="F14" s="141">
        <v>-0.11190445783685235</v>
      </c>
      <c r="G14" s="142">
        <v>1252.7456121542436</v>
      </c>
      <c r="H14" s="141">
        <v>-0.14374143944701906</v>
      </c>
      <c r="I14" s="142">
        <v>5247.2481425878013</v>
      </c>
      <c r="J14" s="141">
        <v>-0.11415091077310191</v>
      </c>
      <c r="K14" s="140">
        <v>730.42412657999137</v>
      </c>
      <c r="L14" s="141"/>
      <c r="M14" s="142">
        <v>5977.6722691677924</v>
      </c>
      <c r="N14" s="141"/>
    </row>
    <row r="15" spans="1:14" hidden="1">
      <c r="A15" s="71"/>
      <c r="B15" s="73">
        <v>2</v>
      </c>
      <c r="C15" s="140">
        <v>1079.9943281008409</v>
      </c>
      <c r="D15" s="141">
        <v>-3.1186334965387679E-2</v>
      </c>
      <c r="E15" s="142">
        <v>3217.6096613559321</v>
      </c>
      <c r="F15" s="141">
        <v>-9.5883885101883282E-2</v>
      </c>
      <c r="G15" s="142">
        <v>1396.8677657506823</v>
      </c>
      <c r="H15" s="141">
        <v>-6.2687404471530178E-2</v>
      </c>
      <c r="I15" s="142">
        <v>5694.4717552074553</v>
      </c>
      <c r="J15" s="141">
        <v>-7.615697598157524E-2</v>
      </c>
      <c r="K15" s="140">
        <v>743.88478368965411</v>
      </c>
      <c r="L15" s="141"/>
      <c r="M15" s="142">
        <v>6438.3565388971092</v>
      </c>
      <c r="N15" s="141"/>
    </row>
    <row r="16" spans="1:14" hidden="1">
      <c r="A16" s="71"/>
      <c r="B16" s="73">
        <v>3</v>
      </c>
      <c r="C16" s="140">
        <v>950.49900000000002</v>
      </c>
      <c r="D16" s="141">
        <v>-5.7000000000000002E-3</v>
      </c>
      <c r="E16" s="142">
        <v>3082.2359999999999</v>
      </c>
      <c r="F16" s="141">
        <v>-9.2499999999999999E-2</v>
      </c>
      <c r="G16" s="142">
        <v>1373.9849999999999</v>
      </c>
      <c r="H16" s="141">
        <v>-6.4199999999999993E-2</v>
      </c>
      <c r="I16" s="142">
        <v>5406.7190000000001</v>
      </c>
      <c r="J16" s="141">
        <v>-7.1099999999999997E-2</v>
      </c>
      <c r="K16" s="140">
        <v>689.79399999999998</v>
      </c>
      <c r="L16" s="141"/>
      <c r="M16" s="142">
        <v>6096.5129999999999</v>
      </c>
      <c r="N16" s="141"/>
    </row>
    <row r="17" spans="1:14" hidden="1">
      <c r="A17" s="71"/>
      <c r="B17" s="73">
        <v>4</v>
      </c>
      <c r="C17" s="140">
        <v>1151.9119015160725</v>
      </c>
      <c r="D17" s="141">
        <v>-5.6630904568541522E-2</v>
      </c>
      <c r="E17" s="142">
        <v>3670.3729614846034</v>
      </c>
      <c r="F17" s="141">
        <v>-6.7216092698944824E-2</v>
      </c>
      <c r="G17" s="142">
        <v>1624.5113710369401</v>
      </c>
      <c r="H17" s="141">
        <v>-7.564166698051876E-2</v>
      </c>
      <c r="I17" s="142">
        <v>6446.7962340376162</v>
      </c>
      <c r="J17" s="141">
        <v>-6.7488367723422898E-2</v>
      </c>
      <c r="K17" s="140">
        <v>878.36054314139994</v>
      </c>
      <c r="L17" s="141"/>
      <c r="M17" s="142">
        <v>7325.156777179016</v>
      </c>
      <c r="N17" s="141"/>
    </row>
    <row r="18" spans="1:14" hidden="1">
      <c r="A18" s="74"/>
      <c r="B18" s="75"/>
      <c r="C18" s="143"/>
      <c r="D18" s="138"/>
      <c r="E18" s="138"/>
      <c r="F18" s="138"/>
      <c r="G18" s="138"/>
      <c r="H18" s="138"/>
      <c r="I18" s="138"/>
      <c r="J18" s="138"/>
      <c r="K18" s="138"/>
      <c r="L18" s="144"/>
      <c r="M18" s="138"/>
      <c r="N18" s="144"/>
    </row>
    <row r="19" spans="1:14">
      <c r="A19" s="71">
        <v>2009</v>
      </c>
      <c r="B19" s="73">
        <v>1</v>
      </c>
      <c r="C19" s="140">
        <v>1132.0825792944675</v>
      </c>
      <c r="D19" s="141">
        <v>-0.25869999999999999</v>
      </c>
      <c r="E19" s="142">
        <v>3328.2823695362486</v>
      </c>
      <c r="F19" s="141">
        <v>-0.23680000000000001</v>
      </c>
      <c r="G19" s="142">
        <v>1463.0459418066514</v>
      </c>
      <c r="H19" s="141">
        <v>-0.4234</v>
      </c>
      <c r="I19" s="142">
        <v>5923.4108906373676</v>
      </c>
      <c r="J19" s="141">
        <v>-0.29696480167738171</v>
      </c>
      <c r="K19" s="140">
        <v>696.3051730981806</v>
      </c>
      <c r="L19" s="141"/>
      <c r="M19" s="142">
        <v>6619.7160637355482</v>
      </c>
      <c r="N19" s="141"/>
    </row>
    <row r="20" spans="1:14" hidden="1">
      <c r="A20" s="71"/>
      <c r="B20" s="73">
        <v>2</v>
      </c>
      <c r="C20" s="140">
        <v>1114.7595942118082</v>
      </c>
      <c r="D20" s="141">
        <v>-0.29610373207148966</v>
      </c>
      <c r="E20" s="142">
        <v>3558.845604381821</v>
      </c>
      <c r="F20" s="141">
        <v>-0.24919288685371888</v>
      </c>
      <c r="G20" s="142">
        <v>1490.2901896491735</v>
      </c>
      <c r="H20" s="141">
        <v>-0.40420312736027936</v>
      </c>
      <c r="I20" s="142">
        <v>6163.8953882428032</v>
      </c>
      <c r="J20" s="141">
        <v>-0.30154670949158308</v>
      </c>
      <c r="K20" s="140">
        <v>653.10340973630741</v>
      </c>
      <c r="L20" s="141"/>
      <c r="M20" s="142">
        <v>6816.9987979791103</v>
      </c>
      <c r="N20" s="141"/>
    </row>
    <row r="21" spans="1:14" hidden="1">
      <c r="A21" s="71"/>
      <c r="B21" s="73">
        <v>3</v>
      </c>
      <c r="C21" s="140">
        <v>955.99199999999996</v>
      </c>
      <c r="D21" s="141">
        <v>-0.2984</v>
      </c>
      <c r="E21" s="142">
        <v>3396.2330000000002</v>
      </c>
      <c r="F21" s="141">
        <v>-0.23980000000000001</v>
      </c>
      <c r="G21" s="142">
        <v>1468.2629999999999</v>
      </c>
      <c r="H21" s="141">
        <v>-0.379</v>
      </c>
      <c r="I21" s="142">
        <v>5820.4880000000003</v>
      </c>
      <c r="J21" s="141">
        <v>-0.28949999999999998</v>
      </c>
      <c r="K21" s="140">
        <v>623.11500000000001</v>
      </c>
      <c r="L21" s="141"/>
      <c r="M21" s="142">
        <v>6443.6040000000003</v>
      </c>
      <c r="N21" s="141"/>
    </row>
    <row r="22" spans="1:14" hidden="1">
      <c r="A22" s="71"/>
      <c r="B22" s="73">
        <v>4</v>
      </c>
      <c r="C22" s="140">
        <v>1221.0617319292562</v>
      </c>
      <c r="D22" s="141">
        <v>-0.19798289592298143</v>
      </c>
      <c r="E22" s="142">
        <v>3934.858795007056</v>
      </c>
      <c r="F22" s="141">
        <v>-0.24330140466508243</v>
      </c>
      <c r="G22" s="142">
        <v>1757.4476401704087</v>
      </c>
      <c r="H22" s="141">
        <v>-0.31719283703383322</v>
      </c>
      <c r="I22" s="142">
        <v>6913.3681671067206</v>
      </c>
      <c r="J22" s="141">
        <v>-0.25633755924248924</v>
      </c>
      <c r="K22" s="140">
        <v>770.49170450999998</v>
      </c>
      <c r="L22" s="141"/>
      <c r="M22" s="142">
        <v>7683.8598716167207</v>
      </c>
      <c r="N22" s="141"/>
    </row>
    <row r="23" spans="1:14" hidden="1">
      <c r="A23" s="74"/>
      <c r="B23" s="75"/>
      <c r="C23" s="143"/>
      <c r="D23" s="138"/>
      <c r="E23" s="138"/>
      <c r="F23" s="138"/>
      <c r="G23" s="138"/>
      <c r="H23" s="138"/>
      <c r="I23" s="138"/>
      <c r="J23" s="138"/>
      <c r="K23" s="138"/>
      <c r="L23" s="144"/>
      <c r="M23" s="138"/>
      <c r="N23" s="144"/>
    </row>
    <row r="24" spans="1:14">
      <c r="A24" s="71">
        <v>2008</v>
      </c>
      <c r="B24" s="73">
        <v>1</v>
      </c>
      <c r="C24" s="140">
        <v>1527.1584773970962</v>
      </c>
      <c r="D24" s="141">
        <v>-9.5253270616709906E-2</v>
      </c>
      <c r="E24" s="142">
        <v>4360.9569831449799</v>
      </c>
      <c r="F24" s="141">
        <v>-8.6385675470038739E-2</v>
      </c>
      <c r="G24" s="142">
        <v>2537.3672247774043</v>
      </c>
      <c r="H24" s="141">
        <v>-0.24905847455993493</v>
      </c>
      <c r="I24" s="142">
        <v>8425.4826853194809</v>
      </c>
      <c r="J24" s="141">
        <v>-0.14376539716816114</v>
      </c>
      <c r="K24" s="140">
        <v>804.0475439932801</v>
      </c>
      <c r="L24" s="141"/>
      <c r="M24" s="142">
        <v>9229.5302293127606</v>
      </c>
      <c r="N24" s="141"/>
    </row>
    <row r="25" spans="1:14" hidden="1">
      <c r="A25" s="71"/>
      <c r="B25" s="73">
        <v>2</v>
      </c>
      <c r="C25" s="140">
        <v>1583.6986854503771</v>
      </c>
      <c r="D25" s="141">
        <v>-0.13898212702870125</v>
      </c>
      <c r="E25" s="142">
        <v>4740.0264889185255</v>
      </c>
      <c r="F25" s="141">
        <v>-9.5645923288137188E-2</v>
      </c>
      <c r="G25" s="142">
        <v>2501.3393961709403</v>
      </c>
      <c r="H25" s="141">
        <v>-0.27171369384311511</v>
      </c>
      <c r="I25" s="142">
        <v>8825.0645705398438</v>
      </c>
      <c r="J25" s="141">
        <v>-0.16073478328413279</v>
      </c>
      <c r="K25" s="140">
        <v>776.57955973401602</v>
      </c>
      <c r="L25" s="141"/>
      <c r="M25" s="142">
        <v>9601.6441302738604</v>
      </c>
      <c r="N25" s="141"/>
    </row>
    <row r="26" spans="1:14" hidden="1">
      <c r="A26" s="71"/>
      <c r="B26" s="73">
        <v>3</v>
      </c>
      <c r="C26" s="140">
        <v>1362.5885067953152</v>
      </c>
      <c r="D26" s="141">
        <v>-0.18420000000000003</v>
      </c>
      <c r="E26" s="142">
        <v>4467.5518695745732</v>
      </c>
      <c r="F26" s="141">
        <v>-0.11719999999999996</v>
      </c>
      <c r="G26" s="142">
        <v>2362.4509519528151</v>
      </c>
      <c r="H26" s="141">
        <v>-0.30850000000000005</v>
      </c>
      <c r="I26" s="142">
        <v>8192.5913283227037</v>
      </c>
      <c r="J26" s="141">
        <v>-0.1926353336072536</v>
      </c>
      <c r="K26" s="140">
        <v>749.83812999999998</v>
      </c>
      <c r="L26" s="141"/>
      <c r="M26" s="142">
        <v>8942.4294583227038</v>
      </c>
      <c r="N26" s="141"/>
    </row>
    <row r="27" spans="1:14" hidden="1">
      <c r="A27" s="71"/>
      <c r="B27" s="73">
        <v>4</v>
      </c>
      <c r="C27" s="140">
        <v>1522.4883929807017</v>
      </c>
      <c r="D27" s="141">
        <v>-0.15757532741141295</v>
      </c>
      <c r="E27" s="142">
        <v>5200.034490965948</v>
      </c>
      <c r="F27" s="141">
        <v>-0.12503981182675458</v>
      </c>
      <c r="G27" s="142">
        <v>2573.8564787983787</v>
      </c>
      <c r="H27" s="141">
        <v>-0.34937639728014047</v>
      </c>
      <c r="I27" s="142">
        <v>9296.3793627450286</v>
      </c>
      <c r="J27" s="141">
        <v>-0.20587343410749728</v>
      </c>
      <c r="K27" s="140">
        <v>778.274449</v>
      </c>
      <c r="L27" s="141"/>
      <c r="M27" s="142">
        <v>10074.653811745029</v>
      </c>
      <c r="N27" s="141"/>
    </row>
    <row r="28" spans="1:14" hidden="1">
      <c r="A28" s="74"/>
      <c r="B28" s="75"/>
      <c r="C28" s="143"/>
      <c r="D28" s="138"/>
      <c r="E28" s="138"/>
      <c r="F28" s="138"/>
      <c r="G28" s="138"/>
      <c r="H28" s="138"/>
      <c r="I28" s="138"/>
      <c r="J28" s="138"/>
      <c r="K28" s="138"/>
      <c r="L28" s="146"/>
      <c r="M28" s="138"/>
      <c r="N28" s="144"/>
    </row>
    <row r="29" spans="1:14">
      <c r="A29" s="71">
        <v>2007</v>
      </c>
      <c r="B29" s="73">
        <v>1</v>
      </c>
      <c r="C29" s="140">
        <v>1687.94</v>
      </c>
      <c r="D29" s="141">
        <v>-2.8000000000000001E-2</v>
      </c>
      <c r="E29" s="142">
        <v>4773.3</v>
      </c>
      <c r="F29" s="141">
        <v>-2.1999999999999999E-2</v>
      </c>
      <c r="G29" s="142">
        <v>3378.92</v>
      </c>
      <c r="H29" s="141">
        <v>-0.13200000000000001</v>
      </c>
      <c r="I29" s="142">
        <v>9840.16</v>
      </c>
      <c r="J29" s="141">
        <v>-6.4000000000000001E-2</v>
      </c>
      <c r="K29" s="140">
        <v>750.04</v>
      </c>
      <c r="L29" s="141"/>
      <c r="M29" s="142">
        <v>10590.2</v>
      </c>
      <c r="N29" s="141"/>
    </row>
    <row r="30" spans="1:14" hidden="1">
      <c r="A30" s="71"/>
      <c r="B30" s="73">
        <v>2</v>
      </c>
      <c r="C30" s="140">
        <v>1839.33</v>
      </c>
      <c r="D30" s="141">
        <v>-7.9000000000000001E-2</v>
      </c>
      <c r="E30" s="142">
        <v>5241.34</v>
      </c>
      <c r="F30" s="141">
        <v>-6.4000000000000001E-2</v>
      </c>
      <c r="G30" s="142">
        <v>3434.56</v>
      </c>
      <c r="H30" s="141">
        <v>-0.16400000000000001</v>
      </c>
      <c r="I30" s="142">
        <v>10515.23</v>
      </c>
      <c r="J30" s="141">
        <v>-0.10199999999999999</v>
      </c>
      <c r="K30" s="140">
        <v>795.68</v>
      </c>
      <c r="L30" s="141"/>
      <c r="M30" s="142">
        <v>11310.9</v>
      </c>
      <c r="N30" s="141"/>
    </row>
    <row r="31" spans="1:14" hidden="1">
      <c r="A31" s="71"/>
      <c r="B31" s="73">
        <v>3</v>
      </c>
      <c r="C31" s="140">
        <v>1670.248</v>
      </c>
      <c r="D31" s="141">
        <v>-2.5000000000000001E-2</v>
      </c>
      <c r="E31" s="142">
        <v>5060.6610000000001</v>
      </c>
      <c r="F31" s="141">
        <v>-4.9000000000000002E-2</v>
      </c>
      <c r="G31" s="142">
        <v>3416.415</v>
      </c>
      <c r="H31" s="141">
        <v>-0.17</v>
      </c>
      <c r="I31" s="142">
        <v>10147.325000000001</v>
      </c>
      <c r="J31" s="141">
        <v>-0.09</v>
      </c>
      <c r="K31" s="140">
        <v>773.029</v>
      </c>
      <c r="L31" s="141"/>
      <c r="M31" s="142">
        <v>10920.352999999999</v>
      </c>
      <c r="N31" s="141"/>
    </row>
    <row r="32" spans="1:14" hidden="1">
      <c r="A32" s="71"/>
      <c r="B32" s="73">
        <v>4</v>
      </c>
      <c r="C32" s="140">
        <v>1807.269</v>
      </c>
      <c r="D32" s="141">
        <v>-0.122</v>
      </c>
      <c r="E32" s="142">
        <v>5943.1970000000001</v>
      </c>
      <c r="F32" s="141">
        <v>-5.8999999999999997E-2</v>
      </c>
      <c r="G32" s="142">
        <v>3955.9839999999999</v>
      </c>
      <c r="H32" s="141">
        <v>-0.188</v>
      </c>
      <c r="I32" s="142">
        <v>11706.42</v>
      </c>
      <c r="J32" s="141">
        <v>-0.11600000000000001</v>
      </c>
      <c r="K32" s="140">
        <v>846.87099999999998</v>
      </c>
      <c r="L32" s="141"/>
      <c r="M32" s="142">
        <v>12553.290999999999</v>
      </c>
      <c r="N32" s="141"/>
    </row>
    <row r="33" spans="1:16" hidden="1">
      <c r="A33" s="74"/>
      <c r="B33" s="75"/>
      <c r="C33" s="147"/>
      <c r="D33" s="148"/>
      <c r="E33" s="148"/>
      <c r="F33" s="148"/>
      <c r="G33" s="148"/>
      <c r="H33" s="148"/>
      <c r="I33" s="148"/>
      <c r="J33" s="148"/>
      <c r="K33" s="149"/>
      <c r="L33" s="150"/>
      <c r="M33" s="149"/>
      <c r="N33" s="151"/>
    </row>
    <row r="34" spans="1:16">
      <c r="A34" s="71">
        <v>2006</v>
      </c>
      <c r="B34" s="73">
        <v>1</v>
      </c>
      <c r="C34" s="140">
        <v>1736.52</v>
      </c>
      <c r="D34" s="141">
        <v>-4.82E-2</v>
      </c>
      <c r="E34" s="142">
        <v>4879.72</v>
      </c>
      <c r="F34" s="141">
        <v>-0.01</v>
      </c>
      <c r="G34" s="142">
        <v>3892.89</v>
      </c>
      <c r="H34" s="141">
        <v>4.6800000000000001E-2</v>
      </c>
      <c r="I34" s="142">
        <v>10509.11</v>
      </c>
      <c r="J34" s="141">
        <v>3.5000000000000001E-3</v>
      </c>
      <c r="K34" s="140">
        <v>613.28200000000004</v>
      </c>
      <c r="L34" s="141"/>
      <c r="M34" s="142">
        <v>11122.39</v>
      </c>
      <c r="N34" s="141"/>
    </row>
    <row r="35" spans="1:16" hidden="1">
      <c r="A35" s="71"/>
      <c r="B35" s="73">
        <v>2</v>
      </c>
      <c r="C35" s="140">
        <v>1988.1220000000001</v>
      </c>
      <c r="D35" s="141">
        <v>-4.3299999999999998E-2</v>
      </c>
      <c r="E35" s="142">
        <v>5600.7079999999996</v>
      </c>
      <c r="F35" s="141">
        <v>0.01</v>
      </c>
      <c r="G35" s="142">
        <v>4106.0050000000001</v>
      </c>
      <c r="H35" s="141">
        <v>0</v>
      </c>
      <c r="I35" s="152">
        <v>11694.84</v>
      </c>
      <c r="J35" s="141">
        <v>-3.0999999999999999E-3</v>
      </c>
      <c r="K35" s="140">
        <v>666.95399999999995</v>
      </c>
      <c r="L35" s="141"/>
      <c r="M35" s="142">
        <v>12361.789000000001</v>
      </c>
      <c r="N35" s="141"/>
      <c r="P35" s="76"/>
    </row>
    <row r="36" spans="1:16" hidden="1">
      <c r="A36" s="71"/>
      <c r="B36" s="73">
        <v>3</v>
      </c>
      <c r="C36" s="140">
        <v>1712.675</v>
      </c>
      <c r="D36" s="141">
        <v>-8.3000000000000004E-2</v>
      </c>
      <c r="E36" s="142">
        <v>5324.07</v>
      </c>
      <c r="F36" s="141">
        <v>-3.0000000000000001E-3</v>
      </c>
      <c r="G36" s="142">
        <v>4115.9679999999998</v>
      </c>
      <c r="H36" s="141">
        <v>-0.03</v>
      </c>
      <c r="I36" s="142">
        <v>11152.713</v>
      </c>
      <c r="J36" s="141">
        <v>-2.5999999999999999E-2</v>
      </c>
      <c r="K36" s="140">
        <v>638.33900000000006</v>
      </c>
      <c r="L36" s="141"/>
      <c r="M36" s="142">
        <v>11791.052</v>
      </c>
      <c r="N36" s="141"/>
      <c r="P36" s="76"/>
    </row>
    <row r="37" spans="1:16" hidden="1">
      <c r="A37" s="71"/>
      <c r="B37" s="73">
        <v>4</v>
      </c>
      <c r="C37" s="140">
        <v>2057.58</v>
      </c>
      <c r="D37" s="141">
        <v>-3.7999999999999999E-2</v>
      </c>
      <c r="E37" s="142">
        <v>6316.43</v>
      </c>
      <c r="F37" s="141">
        <v>-8.9999999999999993E-3</v>
      </c>
      <c r="G37" s="142">
        <v>4870.68</v>
      </c>
      <c r="H37" s="141">
        <v>-7.0999999999999994E-2</v>
      </c>
      <c r="I37" s="142">
        <v>13244.68</v>
      </c>
      <c r="J37" s="141">
        <v>-3.6999999999999998E-2</v>
      </c>
      <c r="K37" s="140">
        <v>745.48500000000001</v>
      </c>
      <c r="L37" s="141"/>
      <c r="M37" s="142">
        <v>13990.17</v>
      </c>
      <c r="N37" s="141"/>
      <c r="P37" s="76"/>
    </row>
    <row r="38" spans="1:16" hidden="1">
      <c r="A38" s="74"/>
      <c r="B38" s="75"/>
      <c r="C38" s="147"/>
      <c r="D38" s="148"/>
      <c r="E38" s="148"/>
      <c r="F38" s="148"/>
      <c r="G38" s="148"/>
      <c r="H38" s="148"/>
      <c r="I38" s="148"/>
      <c r="J38" s="148"/>
      <c r="K38" s="149"/>
      <c r="L38" s="150"/>
      <c r="M38" s="149"/>
      <c r="N38" s="151"/>
      <c r="P38" s="76"/>
    </row>
    <row r="39" spans="1:16">
      <c r="A39" s="71">
        <v>2005</v>
      </c>
      <c r="B39" s="73">
        <v>1</v>
      </c>
      <c r="C39" s="140">
        <v>1824.51</v>
      </c>
      <c r="D39" s="141">
        <v>-6.0000000000000001E-3</v>
      </c>
      <c r="E39" s="142">
        <v>4929.01</v>
      </c>
      <c r="F39" s="141">
        <v>2.8000000000000001E-2</v>
      </c>
      <c r="G39" s="142">
        <v>3719</v>
      </c>
      <c r="H39" s="141">
        <v>3.5000000000000003E-2</v>
      </c>
      <c r="I39" s="142">
        <v>10472.52</v>
      </c>
      <c r="J39" s="141">
        <v>2.4E-2</v>
      </c>
      <c r="K39" s="140">
        <v>454.62</v>
      </c>
      <c r="L39" s="141"/>
      <c r="M39" s="142">
        <v>10927.14</v>
      </c>
      <c r="N39" s="141"/>
    </row>
    <row r="40" spans="1:16" hidden="1">
      <c r="A40" s="71"/>
      <c r="B40" s="73">
        <v>2</v>
      </c>
      <c r="C40" s="140">
        <v>2078.0100000000002</v>
      </c>
      <c r="D40" s="141">
        <v>-2.8000000000000001E-2</v>
      </c>
      <c r="E40" s="142">
        <v>5546.05</v>
      </c>
      <c r="F40" s="141">
        <v>1.4E-2</v>
      </c>
      <c r="G40" s="142">
        <v>4106.99</v>
      </c>
      <c r="H40" s="141">
        <v>5.2999999999999999E-2</v>
      </c>
      <c r="I40" s="142">
        <v>11731.06</v>
      </c>
      <c r="J40" s="141">
        <v>1.9E-2</v>
      </c>
      <c r="K40" s="140">
        <v>500.71600000000001</v>
      </c>
      <c r="L40" s="141"/>
      <c r="M40" s="142">
        <v>12231.77</v>
      </c>
      <c r="N40" s="141"/>
    </row>
    <row r="41" spans="1:16" hidden="1">
      <c r="A41" s="77"/>
      <c r="B41" s="73">
        <v>3</v>
      </c>
      <c r="C41" s="140">
        <v>1868.0350000000001</v>
      </c>
      <c r="D41" s="141">
        <v>-4.7E-2</v>
      </c>
      <c r="E41" s="142">
        <v>5338.1509999999998</v>
      </c>
      <c r="F41" s="141">
        <v>8.9999999999999993E-3</v>
      </c>
      <c r="G41" s="142">
        <v>4242.317</v>
      </c>
      <c r="H41" s="141">
        <v>5.5E-2</v>
      </c>
      <c r="I41" s="142">
        <v>11448.5</v>
      </c>
      <c r="J41" s="141">
        <v>1.6E-2</v>
      </c>
      <c r="K41" s="140">
        <v>518.97500000000002</v>
      </c>
      <c r="L41" s="141"/>
      <c r="M41" s="142">
        <v>11967.48</v>
      </c>
      <c r="N41" s="141"/>
    </row>
    <row r="42" spans="1:16" hidden="1">
      <c r="A42" s="77"/>
      <c r="B42" s="73">
        <v>4</v>
      </c>
      <c r="C42" s="140">
        <v>2139.17</v>
      </c>
      <c r="D42" s="141">
        <v>-5.0000000000000001E-3</v>
      </c>
      <c r="E42" s="142">
        <v>6373.48</v>
      </c>
      <c r="F42" s="141">
        <v>-1.2999999999999999E-2</v>
      </c>
      <c r="G42" s="142">
        <v>5243.35</v>
      </c>
      <c r="H42" s="141">
        <v>0.03</v>
      </c>
      <c r="I42" s="142">
        <v>13756</v>
      </c>
      <c r="J42" s="141">
        <v>4.1000000000000003E-3</v>
      </c>
      <c r="K42" s="140">
        <v>552.21100000000001</v>
      </c>
      <c r="L42" s="141"/>
      <c r="M42" s="142">
        <v>14308.21</v>
      </c>
      <c r="N42" s="141"/>
    </row>
    <row r="43" spans="1:16" hidden="1">
      <c r="A43" s="74"/>
      <c r="B43" s="75"/>
      <c r="C43" s="147"/>
      <c r="D43" s="148"/>
      <c r="E43" s="148"/>
      <c r="F43" s="148"/>
      <c r="G43" s="148"/>
      <c r="H43" s="148"/>
      <c r="I43" s="148"/>
      <c r="J43" s="153"/>
      <c r="K43" s="154"/>
      <c r="L43" s="150"/>
      <c r="M43" s="149"/>
      <c r="N43" s="151"/>
    </row>
    <row r="44" spans="1:16">
      <c r="A44" s="71">
        <v>2004</v>
      </c>
      <c r="B44" s="73">
        <v>1</v>
      </c>
      <c r="C44" s="140">
        <v>1835.61</v>
      </c>
      <c r="D44" s="141">
        <v>4.5400000000000003E-2</v>
      </c>
      <c r="E44" s="142">
        <v>4794.49</v>
      </c>
      <c r="F44" s="141">
        <v>2.6599999999999999E-2</v>
      </c>
      <c r="G44" s="142">
        <v>3592.73</v>
      </c>
      <c r="H44" s="141">
        <v>0.04</v>
      </c>
      <c r="I44" s="142">
        <v>10222.84</v>
      </c>
      <c r="J44" s="141">
        <v>3.4599999999999999E-2</v>
      </c>
      <c r="K44" s="155">
        <v>325.39</v>
      </c>
      <c r="L44" s="141"/>
      <c r="M44" s="142">
        <v>10548.23</v>
      </c>
      <c r="N44" s="141"/>
    </row>
    <row r="45" spans="1:16" hidden="1">
      <c r="A45" s="71"/>
      <c r="B45" s="73">
        <v>2</v>
      </c>
      <c r="C45" s="140">
        <v>2137.0100000000002</v>
      </c>
      <c r="D45" s="141">
        <v>2.8000000000000001E-2</v>
      </c>
      <c r="E45" s="142">
        <v>5470.01</v>
      </c>
      <c r="F45" s="141">
        <v>2.5999999999999999E-2</v>
      </c>
      <c r="G45" s="142">
        <v>3901.27</v>
      </c>
      <c r="H45" s="141">
        <v>6.9000000000000006E-2</v>
      </c>
      <c r="I45" s="142">
        <v>11508.3</v>
      </c>
      <c r="J45" s="141">
        <v>4.1000000000000002E-2</v>
      </c>
      <c r="K45" s="155">
        <v>389.42</v>
      </c>
      <c r="L45" s="141"/>
      <c r="M45" s="142">
        <v>11897.72</v>
      </c>
      <c r="N45" s="141"/>
    </row>
    <row r="46" spans="1:16" hidden="1">
      <c r="A46" s="77"/>
      <c r="B46" s="73">
        <v>3</v>
      </c>
      <c r="C46" s="140" t="s">
        <v>236</v>
      </c>
      <c r="D46" s="155" t="s">
        <v>237</v>
      </c>
      <c r="E46" s="155" t="s">
        <v>238</v>
      </c>
      <c r="F46" s="155" t="s">
        <v>239</v>
      </c>
      <c r="G46" s="155" t="s">
        <v>240</v>
      </c>
      <c r="H46" s="155" t="s">
        <v>241</v>
      </c>
      <c r="I46" s="155" t="s">
        <v>242</v>
      </c>
      <c r="J46" s="141">
        <v>3.8300000000000001E-2</v>
      </c>
      <c r="K46" s="155">
        <v>409.71</v>
      </c>
      <c r="L46" s="141"/>
      <c r="M46" s="142">
        <v>11681.3</v>
      </c>
      <c r="N46" s="141"/>
    </row>
    <row r="47" spans="1:16" hidden="1">
      <c r="A47" s="77"/>
      <c r="B47" s="73">
        <v>4</v>
      </c>
      <c r="C47" s="140">
        <v>2150.64</v>
      </c>
      <c r="D47" s="155" t="s">
        <v>243</v>
      </c>
      <c r="E47" s="142">
        <v>6457.83</v>
      </c>
      <c r="F47" s="141">
        <v>3.6900000000000002E-2</v>
      </c>
      <c r="G47" s="155" t="s">
        <v>244</v>
      </c>
      <c r="H47" s="155" t="s">
        <v>245</v>
      </c>
      <c r="I47" s="155" t="s">
        <v>246</v>
      </c>
      <c r="J47" s="155" t="s">
        <v>247</v>
      </c>
      <c r="K47" s="155">
        <v>416.76</v>
      </c>
      <c r="L47" s="141"/>
      <c r="M47" s="142">
        <v>14116.74</v>
      </c>
      <c r="N47" s="141"/>
    </row>
    <row r="48" spans="1:16" hidden="1">
      <c r="A48" s="74"/>
      <c r="B48" s="75"/>
      <c r="C48" s="147"/>
      <c r="D48" s="148"/>
      <c r="E48" s="148"/>
      <c r="F48" s="148"/>
      <c r="G48" s="148"/>
      <c r="H48" s="148"/>
      <c r="I48" s="148"/>
      <c r="J48" s="148"/>
      <c r="K48" s="149"/>
      <c r="L48" s="156"/>
      <c r="M48" s="149"/>
      <c r="N48" s="157"/>
    </row>
    <row r="49" spans="1:14">
      <c r="A49" s="71">
        <v>2003</v>
      </c>
      <c r="B49" s="73">
        <v>1</v>
      </c>
      <c r="C49" s="140">
        <v>1755.96</v>
      </c>
      <c r="D49" s="141">
        <v>3.6999999999999998E-2</v>
      </c>
      <c r="E49" s="142">
        <v>4670.1400000000003</v>
      </c>
      <c r="F49" s="141">
        <v>2.5399999999999999E-2</v>
      </c>
      <c r="G49" s="142">
        <v>3454.45</v>
      </c>
      <c r="H49" s="141">
        <v>-2.2000000000000001E-3</v>
      </c>
      <c r="I49" s="142">
        <v>9880.5499999999993</v>
      </c>
      <c r="J49" s="141">
        <v>1.7600000000000001E-2</v>
      </c>
      <c r="K49" s="155">
        <v>253.57</v>
      </c>
      <c r="L49" s="158"/>
      <c r="M49" s="142">
        <v>10134.120000000001</v>
      </c>
      <c r="N49" s="158"/>
    </row>
    <row r="50" spans="1:14" hidden="1">
      <c r="A50" s="71"/>
      <c r="B50" s="73">
        <v>2</v>
      </c>
      <c r="C50" s="140">
        <v>2078.0700000000002</v>
      </c>
      <c r="D50" s="141">
        <v>0.128</v>
      </c>
      <c r="E50" s="142">
        <v>5332.35</v>
      </c>
      <c r="F50" s="141">
        <v>1.7000000000000001E-2</v>
      </c>
      <c r="G50" s="142">
        <v>3648.18</v>
      </c>
      <c r="H50" s="141">
        <v>-3.9E-2</v>
      </c>
      <c r="I50" s="142">
        <v>11058.6</v>
      </c>
      <c r="J50" s="141">
        <v>1.6E-2</v>
      </c>
      <c r="K50" s="155">
        <v>294.87</v>
      </c>
      <c r="L50" s="158"/>
      <c r="M50" s="142">
        <v>11353.47</v>
      </c>
      <c r="N50" s="158"/>
    </row>
    <row r="51" spans="1:14" hidden="1">
      <c r="A51" s="77"/>
      <c r="B51" s="73">
        <v>3</v>
      </c>
      <c r="C51" s="140">
        <v>1887.15</v>
      </c>
      <c r="D51" s="141">
        <v>8.2400000000000001E-2</v>
      </c>
      <c r="E51" s="142">
        <v>5110.5200000000004</v>
      </c>
      <c r="F51" s="141">
        <v>7.7000000000000002E-3</v>
      </c>
      <c r="G51" s="142">
        <v>3858.2</v>
      </c>
      <c r="H51" s="141">
        <v>-5.1000000000000004E-3</v>
      </c>
      <c r="I51" s="142">
        <v>10855.87</v>
      </c>
      <c r="J51" s="141">
        <v>1.52E-2</v>
      </c>
      <c r="K51" s="155">
        <v>331.96</v>
      </c>
      <c r="L51" s="158"/>
      <c r="M51" s="142">
        <v>11187.83</v>
      </c>
      <c r="N51" s="158"/>
    </row>
    <row r="52" spans="1:14" hidden="1">
      <c r="A52" s="77"/>
      <c r="B52" s="73">
        <v>4</v>
      </c>
      <c r="C52" s="140">
        <v>2075.5300000000002</v>
      </c>
      <c r="D52" s="141">
        <v>7.4999999999999997E-2</v>
      </c>
      <c r="E52" s="142">
        <v>6228.06</v>
      </c>
      <c r="F52" s="141">
        <v>1.7000000000000001E-2</v>
      </c>
      <c r="G52" s="142">
        <v>4840.51</v>
      </c>
      <c r="H52" s="141">
        <v>1.7000000000000001E-2</v>
      </c>
      <c r="I52" s="142">
        <v>13144.1</v>
      </c>
      <c r="J52" s="141">
        <v>2.5999999999999999E-2</v>
      </c>
      <c r="K52" s="155">
        <v>336.02</v>
      </c>
      <c r="L52" s="158"/>
      <c r="M52" s="142">
        <v>13480.12</v>
      </c>
      <c r="N52" s="158"/>
    </row>
    <row r="53" spans="1:14" hidden="1">
      <c r="A53" s="74"/>
      <c r="B53" s="75"/>
      <c r="C53" s="147"/>
      <c r="D53" s="148"/>
      <c r="E53" s="148"/>
      <c r="F53" s="148"/>
      <c r="G53" s="148"/>
      <c r="H53" s="148"/>
      <c r="I53" s="148"/>
      <c r="J53" s="148"/>
      <c r="K53" s="149"/>
      <c r="L53" s="156"/>
      <c r="M53" s="149"/>
      <c r="N53" s="157"/>
    </row>
    <row r="54" spans="1:14">
      <c r="A54" s="71">
        <v>2002</v>
      </c>
      <c r="B54" s="73">
        <v>1</v>
      </c>
      <c r="C54" s="140">
        <v>1693.46</v>
      </c>
      <c r="D54" s="141">
        <v>-3.4700000000000002E-2</v>
      </c>
      <c r="E54" s="142">
        <v>4554.32</v>
      </c>
      <c r="F54" s="141">
        <v>-8.3000000000000001E-3</v>
      </c>
      <c r="G54" s="142">
        <v>3461.96</v>
      </c>
      <c r="H54" s="141">
        <v>-0.1363</v>
      </c>
      <c r="I54" s="142">
        <v>9709.75</v>
      </c>
      <c r="J54" s="141">
        <v>-6.2300000000000001E-2</v>
      </c>
      <c r="K54" s="155"/>
      <c r="L54" s="158"/>
      <c r="M54" s="155"/>
      <c r="N54" s="158"/>
    </row>
    <row r="55" spans="1:14" hidden="1">
      <c r="A55" s="71"/>
      <c r="B55" s="73">
        <v>2</v>
      </c>
      <c r="C55" s="140">
        <v>1842.71</v>
      </c>
      <c r="D55" s="141">
        <v>-1.7399999999999999E-2</v>
      </c>
      <c r="E55" s="142">
        <v>5245.2</v>
      </c>
      <c r="F55" s="141">
        <v>-1.4E-3</v>
      </c>
      <c r="G55" s="142">
        <v>3796.77</v>
      </c>
      <c r="H55" s="141">
        <v>-4.1399999999999999E-2</v>
      </c>
      <c r="I55" s="142">
        <v>10884.68</v>
      </c>
      <c r="J55" s="141">
        <v>-1.84E-2</v>
      </c>
      <c r="K55" s="155"/>
      <c r="L55" s="158"/>
      <c r="M55" s="155"/>
      <c r="N55" s="158"/>
    </row>
    <row r="56" spans="1:14" hidden="1">
      <c r="A56" s="77"/>
      <c r="B56" s="73">
        <v>3</v>
      </c>
      <c r="C56" s="140">
        <v>1743.5</v>
      </c>
      <c r="D56" s="141">
        <v>5.1900000000000002E-2</v>
      </c>
      <c r="E56" s="142">
        <v>5071.51</v>
      </c>
      <c r="F56" s="141">
        <v>2.7199999999999998E-2</v>
      </c>
      <c r="G56" s="142">
        <v>3877.87</v>
      </c>
      <c r="H56" s="141">
        <v>-2.93E-2</v>
      </c>
      <c r="I56" s="142">
        <v>10692.87</v>
      </c>
      <c r="J56" s="141">
        <v>9.7999999999999997E-3</v>
      </c>
      <c r="K56" s="155"/>
      <c r="L56" s="158"/>
      <c r="M56" s="155"/>
      <c r="N56" s="158"/>
    </row>
    <row r="57" spans="1:14" hidden="1">
      <c r="A57" s="77"/>
      <c r="B57" s="73">
        <v>4</v>
      </c>
      <c r="C57" s="140">
        <v>1930.05</v>
      </c>
      <c r="D57" s="141">
        <v>0.12429999999999999</v>
      </c>
      <c r="E57" s="142">
        <v>6123.2</v>
      </c>
      <c r="F57" s="141">
        <v>3.8399999999999997E-2</v>
      </c>
      <c r="G57" s="142">
        <v>4761.6400000000003</v>
      </c>
      <c r="H57" s="141">
        <v>2.23E-2</v>
      </c>
      <c r="I57" s="142">
        <v>12814.89</v>
      </c>
      <c r="J57" s="141">
        <v>4.4299999999999999E-2</v>
      </c>
      <c r="K57" s="155"/>
      <c r="L57" s="158"/>
      <c r="M57" s="155"/>
      <c r="N57" s="158"/>
    </row>
    <row r="58" spans="1:14" hidden="1">
      <c r="A58" s="74"/>
      <c r="B58" s="75"/>
      <c r="C58" s="147"/>
      <c r="D58" s="148"/>
      <c r="E58" s="148"/>
      <c r="F58" s="148"/>
      <c r="G58" s="148"/>
      <c r="H58" s="148"/>
      <c r="I58" s="148"/>
      <c r="J58" s="148"/>
      <c r="K58" s="149"/>
      <c r="L58" s="156"/>
      <c r="M58" s="149"/>
      <c r="N58" s="157"/>
    </row>
    <row r="59" spans="1:14">
      <c r="A59" s="71">
        <v>2001</v>
      </c>
      <c r="B59" s="73">
        <v>1</v>
      </c>
      <c r="C59" s="140">
        <v>1754.34</v>
      </c>
      <c r="D59" s="141">
        <v>-3.7100000000000001E-2</v>
      </c>
      <c r="E59" s="142">
        <v>4592.4399999999996</v>
      </c>
      <c r="F59" s="141">
        <v>-3.5999999999999999E-3</v>
      </c>
      <c r="G59" s="142">
        <v>4008.29</v>
      </c>
      <c r="H59" s="141">
        <v>-8.6300000000000002E-2</v>
      </c>
      <c r="I59" s="142">
        <v>10355.07</v>
      </c>
      <c r="J59" s="141">
        <v>-4.2799999999999998E-2</v>
      </c>
      <c r="K59" s="155"/>
      <c r="L59" s="158"/>
      <c r="M59" s="155"/>
      <c r="N59" s="158"/>
    </row>
    <row r="60" spans="1:14" hidden="1">
      <c r="A60" s="71"/>
      <c r="B60" s="73">
        <v>2</v>
      </c>
      <c r="C60" s="140" t="s">
        <v>248</v>
      </c>
      <c r="D60" s="155" t="s">
        <v>249</v>
      </c>
      <c r="E60" s="142">
        <v>5252.55</v>
      </c>
      <c r="F60" s="155" t="s">
        <v>250</v>
      </c>
      <c r="G60" s="155" t="s">
        <v>251</v>
      </c>
      <c r="H60" s="155" t="s">
        <v>252</v>
      </c>
      <c r="I60" s="155" t="s">
        <v>253</v>
      </c>
      <c r="J60" s="155" t="s">
        <v>254</v>
      </c>
      <c r="K60" s="155"/>
      <c r="L60" s="158"/>
      <c r="M60" s="155"/>
      <c r="N60" s="158"/>
    </row>
    <row r="61" spans="1:14" hidden="1">
      <c r="A61" s="77"/>
      <c r="B61" s="73">
        <v>3</v>
      </c>
      <c r="C61" s="140" t="s">
        <v>255</v>
      </c>
      <c r="D61" s="141">
        <v>-0.1084</v>
      </c>
      <c r="E61" s="155" t="s">
        <v>256</v>
      </c>
      <c r="F61" s="155" t="s">
        <v>257</v>
      </c>
      <c r="G61" s="155" t="s">
        <v>258</v>
      </c>
      <c r="H61" s="155" t="s">
        <v>259</v>
      </c>
      <c r="I61" s="142">
        <v>10589.61</v>
      </c>
      <c r="J61" s="141">
        <v>-0.1032</v>
      </c>
      <c r="K61" s="155"/>
      <c r="L61" s="158"/>
      <c r="M61" s="155"/>
      <c r="N61" s="158"/>
    </row>
    <row r="62" spans="1:14" hidden="1">
      <c r="A62" s="77"/>
      <c r="B62" s="73">
        <v>4</v>
      </c>
      <c r="C62" s="140">
        <v>1716.67</v>
      </c>
      <c r="D62" s="141">
        <v>-0.10730000000000001</v>
      </c>
      <c r="E62" s="142">
        <v>5896.76</v>
      </c>
      <c r="F62" s="141">
        <v>-6.3700000000000007E-2</v>
      </c>
      <c r="G62" s="142">
        <v>4657.7700000000004</v>
      </c>
      <c r="H62" s="141">
        <v>-0.18490000000000001</v>
      </c>
      <c r="I62" s="142">
        <v>12271.2</v>
      </c>
      <c r="J62" s="141">
        <v>-0.11940000000000001</v>
      </c>
      <c r="K62" s="155"/>
      <c r="L62" s="158"/>
      <c r="M62" s="155"/>
      <c r="N62" s="158"/>
    </row>
    <row r="63" spans="1:14" hidden="1">
      <c r="A63" s="74"/>
      <c r="B63" s="75"/>
      <c r="C63" s="147"/>
      <c r="D63" s="148"/>
      <c r="E63" s="148"/>
      <c r="F63" s="148"/>
      <c r="G63" s="148"/>
      <c r="H63" s="148"/>
      <c r="I63" s="148"/>
      <c r="J63" s="148"/>
      <c r="K63" s="149"/>
      <c r="L63" s="156"/>
      <c r="M63" s="149"/>
      <c r="N63" s="157"/>
    </row>
    <row r="64" spans="1:14">
      <c r="A64" s="71">
        <v>2000</v>
      </c>
      <c r="B64" s="73">
        <v>1</v>
      </c>
      <c r="C64" s="140" t="s">
        <v>260</v>
      </c>
      <c r="D64" s="155" t="s">
        <v>261</v>
      </c>
      <c r="E64" s="142">
        <v>4609.03</v>
      </c>
      <c r="F64" s="155" t="s">
        <v>262</v>
      </c>
      <c r="G64" s="142">
        <v>4386.88</v>
      </c>
      <c r="H64" s="155" t="s">
        <v>263</v>
      </c>
      <c r="I64" s="142">
        <v>10817.84</v>
      </c>
      <c r="J64" s="155" t="s">
        <v>264</v>
      </c>
      <c r="K64" s="155"/>
      <c r="L64" s="158"/>
      <c r="M64" s="155"/>
      <c r="N64" s="158"/>
    </row>
    <row r="65" spans="1:14" hidden="1">
      <c r="A65" s="71"/>
      <c r="B65" s="73">
        <v>2</v>
      </c>
      <c r="C65" s="140" t="s">
        <v>265</v>
      </c>
      <c r="D65" s="141">
        <v>0.14299999999999999</v>
      </c>
      <c r="E65" s="155" t="s">
        <v>266</v>
      </c>
      <c r="F65" s="155" t="s">
        <v>267</v>
      </c>
      <c r="G65" s="155" t="s">
        <v>268</v>
      </c>
      <c r="H65" s="155" t="s">
        <v>269</v>
      </c>
      <c r="I65" s="155" t="s">
        <v>270</v>
      </c>
      <c r="J65" s="155" t="s">
        <v>271</v>
      </c>
      <c r="K65" s="155"/>
      <c r="L65" s="158"/>
      <c r="M65" s="155"/>
      <c r="N65" s="158"/>
    </row>
    <row r="66" spans="1:14" hidden="1">
      <c r="A66" s="77"/>
      <c r="B66" s="73">
        <v>3</v>
      </c>
      <c r="C66" s="140" t="s">
        <v>272</v>
      </c>
      <c r="D66" s="155" t="s">
        <v>273</v>
      </c>
      <c r="E66" s="155" t="s">
        <v>274</v>
      </c>
      <c r="F66" s="155" t="s">
        <v>275</v>
      </c>
      <c r="G66" s="142">
        <v>4818.96</v>
      </c>
      <c r="H66" s="155" t="s">
        <v>276</v>
      </c>
      <c r="I66" s="155" t="s">
        <v>277</v>
      </c>
      <c r="J66" s="141">
        <v>4.2999999999999997E-2</v>
      </c>
      <c r="K66" s="155"/>
      <c r="L66" s="158"/>
      <c r="M66" s="155"/>
      <c r="N66" s="158"/>
    </row>
    <row r="67" spans="1:14" hidden="1">
      <c r="A67" s="77"/>
      <c r="B67" s="73">
        <v>4</v>
      </c>
      <c r="C67" s="140" t="s">
        <v>278</v>
      </c>
      <c r="D67" s="155" t="s">
        <v>279</v>
      </c>
      <c r="E67" s="155" t="s">
        <v>280</v>
      </c>
      <c r="F67" s="155" t="s">
        <v>281</v>
      </c>
      <c r="G67" s="155" t="s">
        <v>282</v>
      </c>
      <c r="H67" s="155" t="s">
        <v>283</v>
      </c>
      <c r="I67" s="155" t="s">
        <v>284</v>
      </c>
      <c r="J67" s="155" t="s">
        <v>285</v>
      </c>
      <c r="K67" s="155"/>
      <c r="L67" s="158"/>
      <c r="M67" s="155"/>
      <c r="N67" s="158"/>
    </row>
    <row r="68" spans="1:14" hidden="1">
      <c r="A68" s="78" t="s">
        <v>286</v>
      </c>
      <c r="B68" s="79"/>
      <c r="C68" s="159"/>
      <c r="D68" s="160"/>
      <c r="E68" s="160"/>
      <c r="F68" s="148"/>
      <c r="G68" s="160"/>
      <c r="H68" s="160"/>
      <c r="I68" s="160"/>
      <c r="J68" s="160"/>
      <c r="K68" s="149"/>
      <c r="L68" s="156"/>
      <c r="M68" s="149"/>
      <c r="N68" s="157"/>
    </row>
    <row r="69" spans="1:14">
      <c r="A69" s="71">
        <v>1999</v>
      </c>
      <c r="B69" s="73">
        <v>1</v>
      </c>
      <c r="C69" s="140" t="s">
        <v>287</v>
      </c>
      <c r="D69" s="155" t="s">
        <v>288</v>
      </c>
      <c r="E69" s="155" t="s">
        <v>289</v>
      </c>
      <c r="F69" s="155" t="s">
        <v>290</v>
      </c>
      <c r="G69" s="155" t="s">
        <v>291</v>
      </c>
      <c r="H69" s="155" t="s">
        <v>292</v>
      </c>
      <c r="I69" s="142">
        <v>10232.4</v>
      </c>
      <c r="J69" s="141">
        <v>5.3999999999999999E-2</v>
      </c>
      <c r="K69" s="155"/>
      <c r="L69" s="158"/>
      <c r="M69" s="155"/>
      <c r="N69" s="158"/>
    </row>
    <row r="70" spans="1:14" hidden="1">
      <c r="A70" s="71"/>
      <c r="B70" s="73">
        <v>2</v>
      </c>
      <c r="C70" s="140" t="s">
        <v>293</v>
      </c>
      <c r="D70" s="155" t="s">
        <v>294</v>
      </c>
      <c r="E70" s="155" t="s">
        <v>295</v>
      </c>
      <c r="F70" s="155" t="s">
        <v>296</v>
      </c>
      <c r="G70" s="155" t="s">
        <v>297</v>
      </c>
      <c r="H70" s="141">
        <v>0.04</v>
      </c>
      <c r="I70" s="142">
        <v>11343.11</v>
      </c>
      <c r="J70" s="141">
        <v>4.9000000000000002E-2</v>
      </c>
      <c r="K70" s="155"/>
      <c r="L70" s="158"/>
      <c r="M70" s="155"/>
      <c r="N70" s="158"/>
    </row>
    <row r="71" spans="1:14" hidden="1">
      <c r="A71" s="77"/>
      <c r="B71" s="73">
        <v>3</v>
      </c>
      <c r="C71" s="140">
        <v>1624.39</v>
      </c>
      <c r="D71" s="155" t="s">
        <v>298</v>
      </c>
      <c r="E71" s="155" t="s">
        <v>299</v>
      </c>
      <c r="F71" s="155" t="s">
        <v>300</v>
      </c>
      <c r="G71" s="155" t="s">
        <v>301</v>
      </c>
      <c r="H71" s="155" t="s">
        <v>290</v>
      </c>
      <c r="I71" s="155" t="s">
        <v>302</v>
      </c>
      <c r="J71" s="155" t="s">
        <v>303</v>
      </c>
      <c r="K71" s="155"/>
      <c r="L71" s="158"/>
      <c r="M71" s="155"/>
      <c r="N71" s="158"/>
    </row>
    <row r="72" spans="1:14" hidden="1">
      <c r="A72" s="77"/>
      <c r="B72" s="73">
        <v>4</v>
      </c>
      <c r="C72" s="140">
        <v>1780.4</v>
      </c>
      <c r="D72" s="155" t="s">
        <v>304</v>
      </c>
      <c r="E72" s="142">
        <v>6117.1</v>
      </c>
      <c r="F72" s="155" t="s">
        <v>305</v>
      </c>
      <c r="G72" s="142">
        <v>5494.04</v>
      </c>
      <c r="H72" s="155" t="s">
        <v>306</v>
      </c>
      <c r="I72" s="155" t="s">
        <v>307</v>
      </c>
      <c r="J72" s="155" t="s">
        <v>308</v>
      </c>
      <c r="K72" s="155"/>
      <c r="L72" s="158"/>
      <c r="M72" s="155"/>
      <c r="N72" s="158"/>
    </row>
    <row r="73" spans="1:14" hidden="1">
      <c r="A73" s="78"/>
      <c r="B73" s="79"/>
      <c r="C73" s="159"/>
      <c r="D73" s="160"/>
      <c r="E73" s="160"/>
      <c r="F73" s="148"/>
      <c r="G73" s="160"/>
      <c r="H73" s="160"/>
      <c r="I73" s="160"/>
      <c r="J73" s="160"/>
      <c r="K73" s="149"/>
      <c r="L73" s="156"/>
      <c r="M73" s="149"/>
      <c r="N73" s="157"/>
    </row>
    <row r="74" spans="1:14">
      <c r="A74" s="71">
        <v>1998</v>
      </c>
      <c r="B74" s="73">
        <v>1</v>
      </c>
      <c r="C74" s="140" t="s">
        <v>309</v>
      </c>
      <c r="D74" s="155" t="s">
        <v>310</v>
      </c>
      <c r="E74" s="155" t="s">
        <v>311</v>
      </c>
      <c r="F74" s="155" t="s">
        <v>312</v>
      </c>
      <c r="G74" s="155" t="s">
        <v>313</v>
      </c>
      <c r="H74" s="155" t="s">
        <v>314</v>
      </c>
      <c r="I74" s="142">
        <v>9712.6299999999992</v>
      </c>
      <c r="J74" s="141">
        <v>7.9000000000000001E-2</v>
      </c>
      <c r="K74" s="155"/>
      <c r="L74" s="158"/>
      <c r="M74" s="155"/>
      <c r="N74" s="158"/>
    </row>
    <row r="75" spans="1:14" hidden="1">
      <c r="A75" s="71"/>
      <c r="B75" s="73">
        <v>2</v>
      </c>
      <c r="C75" s="140" t="s">
        <v>315</v>
      </c>
      <c r="D75" s="155" t="s">
        <v>316</v>
      </c>
      <c r="E75" s="142">
        <v>5016.5</v>
      </c>
      <c r="F75" s="141">
        <v>6.8000000000000005E-2</v>
      </c>
      <c r="G75" s="155" t="s">
        <v>317</v>
      </c>
      <c r="H75" s="141">
        <v>7.0000000000000007E-2</v>
      </c>
      <c r="I75" s="142">
        <v>10818.33</v>
      </c>
      <c r="J75" s="141">
        <v>7.0999999999999994E-2</v>
      </c>
      <c r="K75" s="155"/>
      <c r="L75" s="158"/>
      <c r="M75" s="155"/>
      <c r="N75" s="158"/>
    </row>
    <row r="76" spans="1:14" hidden="1">
      <c r="A76" s="77"/>
      <c r="B76" s="73">
        <v>3</v>
      </c>
      <c r="C76" s="140" t="s">
        <v>318</v>
      </c>
      <c r="D76" s="155" t="s">
        <v>319</v>
      </c>
      <c r="E76" s="155" t="s">
        <v>320</v>
      </c>
      <c r="F76" s="155" t="s">
        <v>321</v>
      </c>
      <c r="G76" s="155" t="s">
        <v>322</v>
      </c>
      <c r="H76" s="141">
        <v>5.6000000000000001E-2</v>
      </c>
      <c r="I76" s="142">
        <v>10733.54</v>
      </c>
      <c r="J76" s="141">
        <v>5.7000000000000002E-2</v>
      </c>
      <c r="K76" s="155"/>
      <c r="L76" s="158"/>
      <c r="M76" s="155"/>
      <c r="N76" s="158"/>
    </row>
    <row r="77" spans="1:14" hidden="1">
      <c r="A77" s="77"/>
      <c r="B77" s="73">
        <v>4</v>
      </c>
      <c r="C77" s="140" t="s">
        <v>323</v>
      </c>
      <c r="D77" s="155" t="s">
        <v>324</v>
      </c>
      <c r="E77" s="155" t="s">
        <v>325</v>
      </c>
      <c r="F77" s="155" t="s">
        <v>326</v>
      </c>
      <c r="G77" s="155" t="s">
        <v>327</v>
      </c>
      <c r="H77" s="141">
        <v>4.1000000000000002E-2</v>
      </c>
      <c r="I77" s="142">
        <v>12660.92</v>
      </c>
      <c r="J77" s="141">
        <v>4.9000000000000002E-2</v>
      </c>
      <c r="K77" s="155"/>
      <c r="L77" s="158"/>
      <c r="M77" s="155"/>
      <c r="N77" s="158"/>
    </row>
    <row r="78" spans="1:14" hidden="1">
      <c r="A78" s="78"/>
      <c r="B78" s="79"/>
      <c r="C78" s="159"/>
      <c r="D78" s="160"/>
      <c r="E78" s="160"/>
      <c r="F78" s="148"/>
      <c r="G78" s="160"/>
      <c r="H78" s="160"/>
      <c r="I78" s="160"/>
      <c r="J78" s="160"/>
      <c r="K78" s="149"/>
      <c r="L78" s="156"/>
      <c r="M78" s="149"/>
      <c r="N78" s="157"/>
    </row>
    <row r="79" spans="1:14">
      <c r="A79" s="71">
        <v>1997</v>
      </c>
      <c r="B79" s="73">
        <v>1</v>
      </c>
      <c r="C79" s="140" t="s">
        <v>328</v>
      </c>
      <c r="D79" s="155" t="s">
        <v>329</v>
      </c>
      <c r="E79" s="155" t="s">
        <v>330</v>
      </c>
      <c r="F79" s="155" t="s">
        <v>331</v>
      </c>
      <c r="G79" s="155" t="s">
        <v>332</v>
      </c>
      <c r="H79" s="155" t="s">
        <v>333</v>
      </c>
      <c r="I79" s="142">
        <v>9000.44</v>
      </c>
      <c r="J79" s="141">
        <v>8.4000000000000005E-2</v>
      </c>
      <c r="K79" s="155"/>
      <c r="L79" s="158"/>
      <c r="M79" s="155"/>
      <c r="N79" s="158"/>
    </row>
    <row r="80" spans="1:14" hidden="1">
      <c r="A80" s="71"/>
      <c r="B80" s="73">
        <v>2</v>
      </c>
      <c r="C80" s="140" t="s">
        <v>334</v>
      </c>
      <c r="D80" s="155" t="s">
        <v>335</v>
      </c>
      <c r="E80" s="155" t="s">
        <v>336</v>
      </c>
      <c r="F80" s="155" t="s">
        <v>337</v>
      </c>
      <c r="G80" s="142">
        <v>3995.1</v>
      </c>
      <c r="H80" s="141">
        <v>0.125</v>
      </c>
      <c r="I80" s="155" t="s">
        <v>338</v>
      </c>
      <c r="J80" s="141">
        <v>9.5000000000000001E-2</v>
      </c>
      <c r="K80" s="155"/>
      <c r="L80" s="158"/>
      <c r="M80" s="155"/>
      <c r="N80" s="158"/>
    </row>
    <row r="81" spans="1:14" hidden="1">
      <c r="A81" s="77"/>
      <c r="B81" s="73">
        <v>3</v>
      </c>
      <c r="C81" s="140" t="s">
        <v>339</v>
      </c>
      <c r="D81" s="155" t="s">
        <v>340</v>
      </c>
      <c r="E81" s="155" t="s">
        <v>341</v>
      </c>
      <c r="F81" s="155" t="s">
        <v>342</v>
      </c>
      <c r="G81" s="142">
        <v>4170.3999999999996</v>
      </c>
      <c r="H81" s="155" t="s">
        <v>343</v>
      </c>
      <c r="I81" s="142">
        <v>10157.31</v>
      </c>
      <c r="J81" s="141">
        <v>8.7999999999999995E-2</v>
      </c>
      <c r="K81" s="155"/>
      <c r="L81" s="158"/>
      <c r="M81" s="155"/>
      <c r="N81" s="158"/>
    </row>
    <row r="82" spans="1:14" hidden="1">
      <c r="A82" s="77"/>
      <c r="B82" s="73">
        <v>4</v>
      </c>
      <c r="C82" s="140" t="s">
        <v>344</v>
      </c>
      <c r="D82" s="155" t="s">
        <v>345</v>
      </c>
      <c r="E82" s="155" t="s">
        <v>346</v>
      </c>
      <c r="F82" s="155" t="s">
        <v>347</v>
      </c>
      <c r="G82" s="142">
        <v>5027.7</v>
      </c>
      <c r="H82" s="155" t="s">
        <v>348</v>
      </c>
      <c r="I82" s="142">
        <v>12073.85</v>
      </c>
      <c r="J82" s="141">
        <v>8.2000000000000003E-2</v>
      </c>
      <c r="K82" s="155"/>
      <c r="L82" s="158"/>
      <c r="M82" s="155"/>
      <c r="N82" s="158"/>
    </row>
    <row r="83" spans="1:14" hidden="1">
      <c r="A83" s="78"/>
      <c r="B83" s="79"/>
      <c r="C83" s="159"/>
      <c r="D83" s="160"/>
      <c r="E83" s="160"/>
      <c r="F83" s="148"/>
      <c r="G83" s="160"/>
      <c r="H83" s="160"/>
      <c r="I83" s="160"/>
      <c r="J83" s="160"/>
      <c r="K83" s="149"/>
      <c r="L83" s="156"/>
      <c r="M83" s="149"/>
      <c r="N83" s="157"/>
    </row>
    <row r="84" spans="1:14">
      <c r="A84" s="71">
        <v>1996</v>
      </c>
      <c r="B84" s="73">
        <v>1</v>
      </c>
      <c r="C84" s="140" t="s">
        <v>349</v>
      </c>
      <c r="D84" s="155" t="s">
        <v>350</v>
      </c>
      <c r="E84" s="142">
        <v>3960.7</v>
      </c>
      <c r="F84" s="155" t="s">
        <v>351</v>
      </c>
      <c r="G84" s="155" t="s">
        <v>352</v>
      </c>
      <c r="H84" s="155" t="s">
        <v>353</v>
      </c>
      <c r="I84" s="142">
        <v>8303.27</v>
      </c>
      <c r="J84" s="141">
        <v>4.8000000000000001E-2</v>
      </c>
      <c r="K84" s="155"/>
      <c r="L84" s="158"/>
      <c r="M84" s="155"/>
      <c r="N84" s="158"/>
    </row>
    <row r="85" spans="1:14" ht="12.75" hidden="1" customHeight="1">
      <c r="A85" s="71"/>
      <c r="B85" s="73">
        <v>2</v>
      </c>
      <c r="C85" s="140" t="s">
        <v>354</v>
      </c>
      <c r="D85" s="155" t="s">
        <v>355</v>
      </c>
      <c r="E85" s="155" t="s">
        <v>356</v>
      </c>
      <c r="F85" s="155" t="s">
        <v>357</v>
      </c>
      <c r="G85" s="155" t="s">
        <v>358</v>
      </c>
      <c r="H85" s="141">
        <v>9.7000000000000003E-2</v>
      </c>
      <c r="I85" s="142">
        <v>9269.1200000000008</v>
      </c>
      <c r="J85" s="141">
        <v>4.7E-2</v>
      </c>
      <c r="K85" s="155"/>
      <c r="L85" s="158"/>
      <c r="M85" s="155"/>
      <c r="N85" s="158"/>
    </row>
    <row r="86" spans="1:14" hidden="1">
      <c r="A86" s="77"/>
      <c r="B86" s="73">
        <v>3</v>
      </c>
      <c r="C86" s="140" t="s">
        <v>359</v>
      </c>
      <c r="D86" s="155" t="s">
        <v>360</v>
      </c>
      <c r="E86" s="155" t="s">
        <v>361</v>
      </c>
      <c r="F86" s="155" t="s">
        <v>239</v>
      </c>
      <c r="G86" s="155" t="s">
        <v>362</v>
      </c>
      <c r="H86" s="155" t="s">
        <v>363</v>
      </c>
      <c r="I86" s="142">
        <v>9338.76</v>
      </c>
      <c r="J86" s="141">
        <v>7.9000000000000001E-2</v>
      </c>
      <c r="K86" s="155"/>
      <c r="L86" s="158"/>
      <c r="M86" s="155"/>
      <c r="N86" s="158"/>
    </row>
    <row r="87" spans="1:14" ht="12.75" hidden="1" customHeight="1">
      <c r="A87" s="77"/>
      <c r="B87" s="73">
        <v>4</v>
      </c>
      <c r="C87" s="140" t="s">
        <v>364</v>
      </c>
      <c r="D87" s="155" t="s">
        <v>365</v>
      </c>
      <c r="E87" s="155" t="s">
        <v>366</v>
      </c>
      <c r="F87" s="155" t="s">
        <v>367</v>
      </c>
      <c r="G87" s="155" t="s">
        <v>368</v>
      </c>
      <c r="H87" s="155" t="s">
        <v>369</v>
      </c>
      <c r="I87" s="142">
        <v>11163.98</v>
      </c>
      <c r="J87" s="141">
        <v>4.7E-2</v>
      </c>
      <c r="K87" s="155"/>
      <c r="L87" s="158"/>
      <c r="M87" s="155"/>
      <c r="N87" s="158"/>
    </row>
    <row r="88" spans="1:14" hidden="1">
      <c r="A88" s="78"/>
      <c r="B88" s="79"/>
      <c r="C88" s="159"/>
      <c r="D88" s="160"/>
      <c r="E88" s="160"/>
      <c r="F88" s="148"/>
      <c r="G88" s="160"/>
      <c r="H88" s="160"/>
      <c r="I88" s="160"/>
      <c r="J88" s="160"/>
      <c r="K88" s="149"/>
      <c r="L88" s="156"/>
      <c r="M88" s="149"/>
      <c r="N88" s="157"/>
    </row>
    <row r="89" spans="1:14">
      <c r="A89" s="71">
        <v>1995</v>
      </c>
      <c r="B89" s="73">
        <v>1</v>
      </c>
      <c r="C89" s="140" t="s">
        <v>370</v>
      </c>
      <c r="D89" s="155" t="s">
        <v>371</v>
      </c>
      <c r="E89" s="155" t="s">
        <v>372</v>
      </c>
      <c r="F89" s="155" t="s">
        <v>373</v>
      </c>
      <c r="G89" s="155" t="s">
        <v>374</v>
      </c>
      <c r="H89" s="155" t="s">
        <v>375</v>
      </c>
      <c r="I89" s="142">
        <v>7921.66</v>
      </c>
      <c r="J89" s="141">
        <v>7.2999999999999995E-2</v>
      </c>
      <c r="K89" s="155"/>
      <c r="L89" s="158"/>
      <c r="M89" s="155"/>
      <c r="N89" s="158"/>
    </row>
    <row r="90" spans="1:14" hidden="1">
      <c r="A90" s="77"/>
      <c r="B90" s="73">
        <v>2</v>
      </c>
      <c r="C90" s="140" t="s">
        <v>376</v>
      </c>
      <c r="D90" s="141" t="s">
        <v>377</v>
      </c>
      <c r="E90" s="155" t="s">
        <v>378</v>
      </c>
      <c r="F90" s="155" t="s">
        <v>379</v>
      </c>
      <c r="G90" s="155" t="s">
        <v>380</v>
      </c>
      <c r="H90" s="141">
        <v>8.3000000000000004E-2</v>
      </c>
      <c r="I90" s="142">
        <v>8856.7900000000009</v>
      </c>
      <c r="J90" s="141">
        <v>5.5E-2</v>
      </c>
      <c r="K90" s="155"/>
      <c r="L90" s="158"/>
      <c r="M90" s="155"/>
      <c r="N90" s="158"/>
    </row>
    <row r="91" spans="1:14" hidden="1">
      <c r="A91" s="77"/>
      <c r="B91" s="73">
        <v>3</v>
      </c>
      <c r="C91" s="140" t="s">
        <v>381</v>
      </c>
      <c r="D91" s="141">
        <v>-6.0000000000000001E-3</v>
      </c>
      <c r="E91" s="155" t="s">
        <v>382</v>
      </c>
      <c r="F91" s="155" t="s">
        <v>357</v>
      </c>
      <c r="G91" s="155" t="s">
        <v>383</v>
      </c>
      <c r="H91" s="141">
        <v>8.6999999999999994E-2</v>
      </c>
      <c r="I91" s="142">
        <v>8652.9500000000007</v>
      </c>
      <c r="J91" s="141">
        <v>3.4000000000000002E-2</v>
      </c>
      <c r="K91" s="155"/>
      <c r="L91" s="158"/>
      <c r="M91" s="155"/>
      <c r="N91" s="158"/>
    </row>
    <row r="92" spans="1:14" hidden="1">
      <c r="A92" s="77"/>
      <c r="B92" s="73">
        <v>4</v>
      </c>
      <c r="C92" s="140" t="s">
        <v>384</v>
      </c>
      <c r="D92" s="155" t="s">
        <v>385</v>
      </c>
      <c r="E92" s="155" t="s">
        <v>386</v>
      </c>
      <c r="F92" s="155" t="s">
        <v>387</v>
      </c>
      <c r="G92" s="142">
        <v>4158.7</v>
      </c>
      <c r="H92" s="141">
        <v>0.112</v>
      </c>
      <c r="I92" s="142">
        <v>10660.72</v>
      </c>
      <c r="J92" s="141">
        <v>7.0000000000000007E-2</v>
      </c>
      <c r="K92" s="155"/>
      <c r="L92" s="158"/>
      <c r="M92" s="155"/>
      <c r="N92" s="158"/>
    </row>
    <row r="93" spans="1:14" hidden="1">
      <c r="A93" s="78"/>
      <c r="B93" s="79"/>
      <c r="C93" s="159"/>
      <c r="D93" s="160"/>
      <c r="E93" s="160"/>
      <c r="F93" s="148"/>
      <c r="G93" s="160"/>
      <c r="H93" s="160"/>
      <c r="I93" s="160"/>
      <c r="J93" s="160"/>
      <c r="K93" s="149"/>
      <c r="L93" s="156"/>
      <c r="M93" s="149"/>
      <c r="N93" s="157"/>
    </row>
    <row r="94" spans="1:14">
      <c r="A94" s="71">
        <v>1994</v>
      </c>
      <c r="B94" s="73">
        <v>1</v>
      </c>
      <c r="C94" s="140" t="s">
        <v>388</v>
      </c>
      <c r="D94" s="155" t="s">
        <v>389</v>
      </c>
      <c r="E94" s="155" t="s">
        <v>390</v>
      </c>
      <c r="F94" s="141">
        <v>3.5000000000000003E-2</v>
      </c>
      <c r="G94" s="155" t="s">
        <v>391</v>
      </c>
      <c r="H94" s="155" t="s">
        <v>392</v>
      </c>
      <c r="I94" s="142">
        <v>7385.43</v>
      </c>
      <c r="J94" s="141">
        <v>6.0999999999999999E-2</v>
      </c>
      <c r="K94" s="155"/>
      <c r="L94" s="158"/>
      <c r="M94" s="155"/>
      <c r="N94" s="158"/>
    </row>
    <row r="95" spans="1:14" ht="11.25" hidden="1" customHeight="1">
      <c r="A95" s="71"/>
      <c r="B95" s="73">
        <v>2</v>
      </c>
      <c r="C95" s="140" t="s">
        <v>393</v>
      </c>
      <c r="D95" s="155" t="s">
        <v>394</v>
      </c>
      <c r="E95" s="155" t="s">
        <v>395</v>
      </c>
      <c r="F95" s="155" t="s">
        <v>396</v>
      </c>
      <c r="G95" s="155" t="s">
        <v>397</v>
      </c>
      <c r="H95" s="155" t="s">
        <v>398</v>
      </c>
      <c r="I95" s="142">
        <v>8392.76</v>
      </c>
      <c r="J95" s="141">
        <v>5.8999999999999997E-2</v>
      </c>
      <c r="K95" s="155"/>
      <c r="L95" s="158"/>
      <c r="M95" s="155"/>
      <c r="N95" s="158"/>
    </row>
    <row r="96" spans="1:14" ht="12.75" hidden="1" customHeight="1">
      <c r="A96" s="77"/>
      <c r="B96" s="73">
        <v>3</v>
      </c>
      <c r="C96" s="140" t="s">
        <v>399</v>
      </c>
      <c r="D96" s="155" t="s">
        <v>343</v>
      </c>
      <c r="E96" s="155" t="s">
        <v>400</v>
      </c>
      <c r="F96" s="155" t="s">
        <v>401</v>
      </c>
      <c r="G96" s="155" t="s">
        <v>402</v>
      </c>
      <c r="H96" s="141">
        <v>0.123</v>
      </c>
      <c r="I96" s="142">
        <v>8367.25</v>
      </c>
      <c r="J96" s="141">
        <v>8.2000000000000003E-2</v>
      </c>
      <c r="K96" s="155"/>
      <c r="L96" s="158"/>
      <c r="M96" s="155"/>
      <c r="N96" s="158"/>
    </row>
    <row r="97" spans="1:14" ht="13.5" hidden="1" customHeight="1">
      <c r="A97" s="77"/>
      <c r="B97" s="73">
        <v>4</v>
      </c>
      <c r="C97" s="140">
        <v>1050.2</v>
      </c>
      <c r="D97" s="155" t="s">
        <v>403</v>
      </c>
      <c r="E97" s="155" t="s">
        <v>404</v>
      </c>
      <c r="F97" s="155" t="s">
        <v>405</v>
      </c>
      <c r="G97" s="155" t="s">
        <v>406</v>
      </c>
      <c r="H97" s="141">
        <v>0.126</v>
      </c>
      <c r="I97" s="142">
        <v>9963.76</v>
      </c>
      <c r="J97" s="141">
        <v>7.6999999999999999E-2</v>
      </c>
      <c r="K97" s="155"/>
      <c r="L97" s="158"/>
      <c r="M97" s="155"/>
      <c r="N97" s="158"/>
    </row>
    <row r="98" spans="1:14" hidden="1">
      <c r="A98" s="78"/>
      <c r="B98" s="79"/>
      <c r="C98" s="159"/>
      <c r="D98" s="160"/>
      <c r="E98" s="160"/>
      <c r="F98" s="148"/>
      <c r="G98" s="160"/>
      <c r="H98" s="160"/>
      <c r="I98" s="160"/>
      <c r="J98" s="160"/>
      <c r="K98" s="149"/>
      <c r="L98" s="156"/>
      <c r="M98" s="149"/>
      <c r="N98" s="157"/>
    </row>
    <row r="99" spans="1:14" ht="11.25" customHeight="1">
      <c r="A99" s="71">
        <v>1993</v>
      </c>
      <c r="B99" s="73">
        <v>1</v>
      </c>
      <c r="C99" s="140" t="s">
        <v>407</v>
      </c>
      <c r="D99" s="155" t="s">
        <v>408</v>
      </c>
      <c r="E99" s="155" t="s">
        <v>409</v>
      </c>
      <c r="F99" s="155" t="s">
        <v>410</v>
      </c>
      <c r="G99" s="155" t="s">
        <v>411</v>
      </c>
      <c r="H99" s="141">
        <v>4.9000000000000002E-2</v>
      </c>
      <c r="I99" s="142">
        <v>6963</v>
      </c>
      <c r="J99" s="141">
        <v>4.8000000000000001E-2</v>
      </c>
      <c r="K99" s="155"/>
      <c r="L99" s="158"/>
      <c r="M99" s="155"/>
      <c r="N99" s="158"/>
    </row>
    <row r="100" spans="1:14" hidden="1">
      <c r="A100" s="71"/>
      <c r="B100" s="73">
        <v>2</v>
      </c>
      <c r="C100" s="140" t="s">
        <v>412</v>
      </c>
      <c r="D100" s="155" t="s">
        <v>413</v>
      </c>
      <c r="E100" s="155" t="s">
        <v>414</v>
      </c>
      <c r="F100" s="155" t="s">
        <v>415</v>
      </c>
      <c r="G100" s="155" t="s">
        <v>416</v>
      </c>
      <c r="H100" s="141">
        <v>1.4999999999999999E-2</v>
      </c>
      <c r="I100" s="142">
        <v>7921.79</v>
      </c>
      <c r="J100" s="141">
        <v>2.3E-2</v>
      </c>
      <c r="K100" s="155"/>
      <c r="L100" s="158"/>
      <c r="M100" s="155"/>
      <c r="N100" s="158"/>
    </row>
    <row r="101" spans="1:14" hidden="1">
      <c r="A101" s="77"/>
      <c r="B101" s="73">
        <v>3</v>
      </c>
      <c r="C101" s="140" t="s">
        <v>417</v>
      </c>
      <c r="D101" s="155" t="s">
        <v>418</v>
      </c>
      <c r="E101" s="155" t="s">
        <v>419</v>
      </c>
      <c r="F101" s="155" t="s">
        <v>321</v>
      </c>
      <c r="G101" s="155" t="s">
        <v>420</v>
      </c>
      <c r="H101" s="141">
        <v>3.1E-2</v>
      </c>
      <c r="I101" s="142">
        <v>7731.61</v>
      </c>
      <c r="J101" s="141">
        <v>3.5999999999999997E-2</v>
      </c>
      <c r="K101" s="155"/>
      <c r="L101" s="158"/>
      <c r="M101" s="155"/>
      <c r="N101" s="158"/>
    </row>
    <row r="102" spans="1:14" hidden="1">
      <c r="A102" s="77"/>
      <c r="B102" s="73">
        <v>4</v>
      </c>
      <c r="C102" s="140" t="s">
        <v>421</v>
      </c>
      <c r="D102" s="155" t="s">
        <v>422</v>
      </c>
      <c r="E102" s="155" t="s">
        <v>423</v>
      </c>
      <c r="F102" s="155" t="s">
        <v>424</v>
      </c>
      <c r="G102" s="155" t="s">
        <v>425</v>
      </c>
      <c r="H102" s="141">
        <v>5.0999999999999997E-2</v>
      </c>
      <c r="I102" s="142">
        <v>9252.91</v>
      </c>
      <c r="J102" s="141">
        <v>5.2999999999999999E-2</v>
      </c>
      <c r="K102" s="155"/>
      <c r="L102" s="158"/>
      <c r="M102" s="155"/>
      <c r="N102" s="158"/>
    </row>
    <row r="103" spans="1:14" hidden="1">
      <c r="A103" s="78"/>
      <c r="B103" s="79"/>
      <c r="C103" s="159"/>
      <c r="D103" s="160"/>
      <c r="E103" s="160"/>
      <c r="F103" s="148"/>
      <c r="G103" s="160"/>
      <c r="H103" s="160"/>
      <c r="I103" s="160"/>
      <c r="J103" s="160"/>
      <c r="K103" s="149"/>
      <c r="L103" s="156"/>
      <c r="M103" s="149"/>
      <c r="N103" s="157"/>
    </row>
    <row r="104" spans="1:14">
      <c r="A104" s="71">
        <v>1992</v>
      </c>
      <c r="B104" s="73">
        <v>1</v>
      </c>
      <c r="C104" s="140" t="s">
        <v>426</v>
      </c>
      <c r="D104" s="155" t="s">
        <v>427</v>
      </c>
      <c r="E104" s="155" t="s">
        <v>428</v>
      </c>
      <c r="F104" s="155" t="s">
        <v>429</v>
      </c>
      <c r="G104" s="155" t="s">
        <v>430</v>
      </c>
      <c r="H104" s="155" t="s">
        <v>431</v>
      </c>
      <c r="I104" s="142">
        <v>6645.31</v>
      </c>
      <c r="J104" s="141">
        <v>-1.0999999999999999E-2</v>
      </c>
      <c r="K104" s="155"/>
      <c r="L104" s="158"/>
      <c r="M104" s="155"/>
      <c r="N104" s="158"/>
    </row>
    <row r="105" spans="1:14" ht="12.75" hidden="1" customHeight="1">
      <c r="A105" s="71"/>
      <c r="B105" s="73">
        <v>2</v>
      </c>
      <c r="C105" s="140" t="s">
        <v>432</v>
      </c>
      <c r="D105" s="155" t="s">
        <v>433</v>
      </c>
      <c r="E105" s="155" t="s">
        <v>434</v>
      </c>
      <c r="F105" s="155" t="s">
        <v>435</v>
      </c>
      <c r="G105" s="155" t="s">
        <v>436</v>
      </c>
      <c r="H105" s="141">
        <v>2.3E-2</v>
      </c>
      <c r="I105" s="142">
        <v>7745.16</v>
      </c>
      <c r="J105" s="141">
        <v>8.9999999999999993E-3</v>
      </c>
      <c r="K105" s="155"/>
      <c r="L105" s="158"/>
      <c r="M105" s="155"/>
      <c r="N105" s="158"/>
    </row>
    <row r="106" spans="1:14" hidden="1">
      <c r="A106" s="77"/>
      <c r="B106" s="73">
        <v>3</v>
      </c>
      <c r="C106" s="140" t="s">
        <v>437</v>
      </c>
      <c r="D106" s="155" t="s">
        <v>438</v>
      </c>
      <c r="E106" s="155" t="s">
        <v>439</v>
      </c>
      <c r="F106" s="155" t="s">
        <v>440</v>
      </c>
      <c r="G106" s="155" t="s">
        <v>441</v>
      </c>
      <c r="H106" s="141">
        <v>7.0000000000000001E-3</v>
      </c>
      <c r="I106" s="142">
        <v>7464.63</v>
      </c>
      <c r="J106" s="141">
        <v>8.9999999999999993E-3</v>
      </c>
      <c r="K106" s="155"/>
      <c r="L106" s="158"/>
      <c r="M106" s="155"/>
      <c r="N106" s="158"/>
    </row>
    <row r="107" spans="1:14" hidden="1">
      <c r="A107" s="77"/>
      <c r="B107" s="73">
        <v>4</v>
      </c>
      <c r="C107" s="140" t="s">
        <v>442</v>
      </c>
      <c r="D107" s="155" t="s">
        <v>443</v>
      </c>
      <c r="E107" s="142">
        <v>4725.6000000000004</v>
      </c>
      <c r="F107" s="155" t="s">
        <v>444</v>
      </c>
      <c r="G107" s="155" t="s">
        <v>445</v>
      </c>
      <c r="H107" s="141">
        <v>2.5999999999999999E-2</v>
      </c>
      <c r="I107" s="142">
        <v>8783.69</v>
      </c>
      <c r="J107" s="141">
        <v>2.7E-2</v>
      </c>
      <c r="K107" s="155"/>
      <c r="L107" s="158"/>
      <c r="M107" s="155"/>
      <c r="N107" s="158"/>
    </row>
    <row r="108" spans="1:14" hidden="1">
      <c r="A108" s="78"/>
      <c r="B108" s="79"/>
      <c r="C108" s="159"/>
      <c r="D108" s="160"/>
      <c r="E108" s="160"/>
      <c r="F108" s="148"/>
      <c r="G108" s="160"/>
      <c r="H108" s="160"/>
      <c r="I108" s="160"/>
      <c r="J108" s="160"/>
      <c r="K108" s="149"/>
      <c r="L108" s="156"/>
      <c r="M108" s="149"/>
      <c r="N108" s="157"/>
    </row>
    <row r="109" spans="1:14">
      <c r="A109" s="71">
        <v>1991</v>
      </c>
      <c r="B109" s="73">
        <v>1</v>
      </c>
      <c r="C109" s="140">
        <v>956.5</v>
      </c>
      <c r="D109" s="141">
        <v>-8.0000000000000002E-3</v>
      </c>
      <c r="E109" s="142">
        <v>3507.6</v>
      </c>
      <c r="F109" s="141">
        <v>-8.4000000000000005E-2</v>
      </c>
      <c r="G109" s="142">
        <v>2256.5</v>
      </c>
      <c r="H109" s="141">
        <v>-9.4E-2</v>
      </c>
      <c r="I109" s="142">
        <v>6720.58</v>
      </c>
      <c r="J109" s="141">
        <v>-7.8E-2</v>
      </c>
      <c r="K109" s="155"/>
      <c r="L109" s="158"/>
      <c r="M109" s="155"/>
      <c r="N109" s="158"/>
    </row>
    <row r="110" spans="1:14" hidden="1">
      <c r="A110" s="71"/>
      <c r="B110" s="73">
        <v>2</v>
      </c>
      <c r="C110" s="140">
        <v>1065.0999999999999</v>
      </c>
      <c r="D110" s="141">
        <v>-1.9E-2</v>
      </c>
      <c r="E110" s="142">
        <v>4041.8</v>
      </c>
      <c r="F110" s="141">
        <v>-7.5999999999999998E-2</v>
      </c>
      <c r="G110" s="142">
        <v>2565.3000000000002</v>
      </c>
      <c r="H110" s="141">
        <v>-9.7000000000000003E-2</v>
      </c>
      <c r="I110" s="142">
        <v>7672.28</v>
      </c>
      <c r="J110" s="141">
        <v>-7.5999999999999998E-2</v>
      </c>
      <c r="K110" s="155"/>
      <c r="L110" s="158"/>
      <c r="M110" s="155"/>
      <c r="N110" s="158"/>
    </row>
    <row r="111" spans="1:14" hidden="1">
      <c r="A111" s="77"/>
      <c r="B111" s="73">
        <v>3</v>
      </c>
      <c r="C111" s="140">
        <v>934.8</v>
      </c>
      <c r="D111" s="141">
        <v>-2.5000000000000001E-2</v>
      </c>
      <c r="E111" s="142">
        <v>3782.3</v>
      </c>
      <c r="F111" s="141">
        <v>-5.8000000000000003E-2</v>
      </c>
      <c r="G111" s="142">
        <v>2684.3</v>
      </c>
      <c r="H111" s="141">
        <v>-8.8999999999999996E-2</v>
      </c>
      <c r="I111" s="142">
        <v>7401.35</v>
      </c>
      <c r="J111" s="141">
        <v>-6.6000000000000003E-2</v>
      </c>
      <c r="K111" s="155"/>
      <c r="L111" s="158"/>
      <c r="M111" s="155"/>
      <c r="N111" s="158"/>
    </row>
    <row r="112" spans="1:14" hidden="1">
      <c r="A112" s="77"/>
      <c r="B112" s="73">
        <v>4</v>
      </c>
      <c r="C112" s="140">
        <v>967.2</v>
      </c>
      <c r="D112" s="141">
        <v>-0.13200000000000001</v>
      </c>
      <c r="E112" s="142">
        <v>4507</v>
      </c>
      <c r="F112" s="141">
        <v>1.7000000000000001E-2</v>
      </c>
      <c r="G112" s="142">
        <v>3080.5</v>
      </c>
      <c r="H112" s="141">
        <v>-4.4999999999999998E-2</v>
      </c>
      <c r="I112" s="142">
        <v>8554.74</v>
      </c>
      <c r="J112" s="141">
        <v>-2.5000000000000001E-2</v>
      </c>
      <c r="K112" s="155"/>
      <c r="L112" s="158"/>
      <c r="M112" s="155"/>
      <c r="N112" s="158"/>
    </row>
    <row r="113" spans="1:14" hidden="1">
      <c r="A113" s="78"/>
      <c r="B113" s="79"/>
      <c r="C113" s="159"/>
      <c r="D113" s="160"/>
      <c r="E113" s="160"/>
      <c r="F113" s="148"/>
      <c r="G113" s="160"/>
      <c r="H113" s="160"/>
      <c r="I113" s="160"/>
      <c r="J113" s="160"/>
      <c r="K113" s="149"/>
      <c r="L113" s="156"/>
      <c r="M113" s="149"/>
      <c r="N113" s="157"/>
    </row>
    <row r="114" spans="1:14">
      <c r="A114" s="71">
        <v>1990</v>
      </c>
      <c r="B114" s="73">
        <v>1</v>
      </c>
      <c r="C114" s="140">
        <v>963.9</v>
      </c>
      <c r="D114" s="141">
        <v>7.8E-2</v>
      </c>
      <c r="E114" s="142">
        <v>3830.2</v>
      </c>
      <c r="F114" s="141">
        <v>0.06</v>
      </c>
      <c r="G114" s="142">
        <v>2491.8000000000002</v>
      </c>
      <c r="H114" s="141">
        <v>-0.113</v>
      </c>
      <c r="I114" s="142">
        <v>7285.82</v>
      </c>
      <c r="J114" s="141">
        <v>-4.0000000000000001E-3</v>
      </c>
      <c r="K114" s="155"/>
      <c r="L114" s="158"/>
      <c r="M114" s="155"/>
      <c r="N114" s="158"/>
    </row>
    <row r="115" spans="1:14" hidden="1">
      <c r="A115" s="71"/>
      <c r="B115" s="73">
        <v>2</v>
      </c>
      <c r="C115" s="140">
        <v>1085.7</v>
      </c>
      <c r="D115" s="141">
        <v>0.44700000000000001</v>
      </c>
      <c r="E115" s="142">
        <v>4373.6000000000004</v>
      </c>
      <c r="F115" s="141">
        <v>-3.2000000000000001E-2</v>
      </c>
      <c r="G115" s="142">
        <v>2841.3</v>
      </c>
      <c r="H115" s="141">
        <v>-5.3999999999999999E-2</v>
      </c>
      <c r="I115" s="142">
        <v>8300.6</v>
      </c>
      <c r="J115" s="141">
        <v>4.0000000000000001E-3</v>
      </c>
      <c r="K115" s="155"/>
      <c r="L115" s="158"/>
      <c r="M115" s="155"/>
      <c r="N115" s="158"/>
    </row>
    <row r="116" spans="1:14" hidden="1">
      <c r="A116" s="77"/>
      <c r="B116" s="73">
        <v>3</v>
      </c>
      <c r="C116" s="140">
        <v>958.6</v>
      </c>
      <c r="D116" s="141">
        <v>0.27400000000000002</v>
      </c>
      <c r="E116" s="142">
        <v>4016.8</v>
      </c>
      <c r="F116" s="141">
        <v>1.0999999999999999E-2</v>
      </c>
      <c r="G116" s="142">
        <v>2947.2</v>
      </c>
      <c r="H116" s="141">
        <v>-0.05</v>
      </c>
      <c r="I116" s="142">
        <v>7922.68</v>
      </c>
      <c r="J116" s="141">
        <v>1.2E-2</v>
      </c>
      <c r="K116" s="155"/>
      <c r="L116" s="158"/>
      <c r="M116" s="155"/>
      <c r="N116" s="158"/>
    </row>
    <row r="117" spans="1:14" hidden="1">
      <c r="A117" s="77"/>
      <c r="B117" s="73">
        <v>4</v>
      </c>
      <c r="C117" s="140">
        <v>1114</v>
      </c>
      <c r="D117" s="141">
        <v>0.32400000000000001</v>
      </c>
      <c r="E117" s="142">
        <v>4431.3</v>
      </c>
      <c r="F117" s="141">
        <v>-7.2999999999999995E-2</v>
      </c>
      <c r="G117" s="142">
        <v>3226.1</v>
      </c>
      <c r="H117" s="141">
        <v>-3.1E-2</v>
      </c>
      <c r="I117" s="142">
        <v>8771.44</v>
      </c>
      <c r="J117" s="141">
        <v>-0.02</v>
      </c>
      <c r="K117" s="155"/>
      <c r="L117" s="158"/>
      <c r="M117" s="155"/>
      <c r="N117" s="158"/>
    </row>
    <row r="118" spans="1:14" hidden="1">
      <c r="A118" s="78"/>
      <c r="B118" s="79"/>
      <c r="C118" s="159"/>
      <c r="D118" s="160"/>
      <c r="E118" s="160"/>
      <c r="F118" s="148"/>
      <c r="G118" s="160"/>
      <c r="H118" s="160"/>
      <c r="I118" s="160"/>
      <c r="J118" s="160"/>
      <c r="K118" s="149"/>
      <c r="L118" s="156"/>
      <c r="M118" s="149"/>
      <c r="N118" s="157"/>
    </row>
    <row r="119" spans="1:14">
      <c r="A119" s="71">
        <v>1989</v>
      </c>
      <c r="B119" s="73">
        <v>1</v>
      </c>
      <c r="C119" s="140">
        <v>894.5</v>
      </c>
      <c r="D119" s="141">
        <v>1.7000000000000001E-2</v>
      </c>
      <c r="E119" s="142">
        <v>3611.7</v>
      </c>
      <c r="F119" s="141">
        <v>4.8000000000000001E-2</v>
      </c>
      <c r="G119" s="142">
        <v>2810.4</v>
      </c>
      <c r="H119" s="141">
        <v>2.4E-2</v>
      </c>
      <c r="I119" s="142">
        <v>7316.55</v>
      </c>
      <c r="J119" s="141">
        <v>3.5000000000000003E-2</v>
      </c>
      <c r="K119" s="155"/>
      <c r="L119" s="158"/>
      <c r="M119" s="155"/>
      <c r="N119" s="158"/>
    </row>
    <row r="120" spans="1:14" hidden="1">
      <c r="A120" s="71"/>
      <c r="B120" s="73">
        <v>2</v>
      </c>
      <c r="C120" s="140">
        <v>750.1</v>
      </c>
      <c r="D120" s="141">
        <v>-0.184</v>
      </c>
      <c r="E120" s="142">
        <v>4518.3</v>
      </c>
      <c r="F120" s="141">
        <v>0.16</v>
      </c>
      <c r="G120" s="142">
        <v>3002.5</v>
      </c>
      <c r="H120" s="141">
        <v>-5.1999999999999998E-2</v>
      </c>
      <c r="I120" s="142">
        <v>8270.93</v>
      </c>
      <c r="J120" s="141">
        <v>3.5999999999999997E-2</v>
      </c>
      <c r="K120" s="155"/>
      <c r="L120" s="158"/>
      <c r="M120" s="155"/>
      <c r="N120" s="158"/>
    </row>
    <row r="121" spans="1:14" hidden="1">
      <c r="A121" s="77"/>
      <c r="B121" s="73">
        <v>3</v>
      </c>
      <c r="C121" s="140">
        <v>752.6</v>
      </c>
      <c r="D121" s="141">
        <v>-0.13200000000000001</v>
      </c>
      <c r="E121" s="142">
        <v>3972.2</v>
      </c>
      <c r="F121" s="141">
        <v>6.2E-2</v>
      </c>
      <c r="G121" s="142">
        <v>3103.9</v>
      </c>
      <c r="H121" s="141">
        <v>0.03</v>
      </c>
      <c r="I121" s="142">
        <v>7828.74</v>
      </c>
      <c r="J121" s="141">
        <v>2.7E-2</v>
      </c>
      <c r="K121" s="155"/>
      <c r="L121" s="158"/>
      <c r="M121" s="155"/>
      <c r="N121" s="158"/>
    </row>
    <row r="122" spans="1:14" hidden="1">
      <c r="A122" s="77"/>
      <c r="B122" s="73">
        <v>4</v>
      </c>
      <c r="C122" s="140">
        <v>841.3</v>
      </c>
      <c r="D122" s="141">
        <v>-8.5000000000000006E-2</v>
      </c>
      <c r="E122" s="142">
        <v>4782.5</v>
      </c>
      <c r="F122" s="141">
        <v>5.0000000000000001E-3</v>
      </c>
      <c r="G122" s="142">
        <v>3328.1</v>
      </c>
      <c r="H122" s="141">
        <v>0.17</v>
      </c>
      <c r="I122" s="142">
        <v>8951.86</v>
      </c>
      <c r="J122" s="141">
        <v>5.0999999999999997E-2</v>
      </c>
      <c r="K122" s="155"/>
      <c r="L122" s="158"/>
      <c r="M122" s="155"/>
      <c r="N122" s="158"/>
    </row>
    <row r="123" spans="1:14" hidden="1">
      <c r="A123" s="78"/>
      <c r="B123" s="79"/>
      <c r="C123" s="159"/>
      <c r="D123" s="160"/>
      <c r="E123" s="160"/>
      <c r="F123" s="148"/>
      <c r="G123" s="160"/>
      <c r="H123" s="160"/>
      <c r="I123" s="160"/>
      <c r="J123" s="160"/>
      <c r="K123" s="149"/>
      <c r="L123" s="156"/>
      <c r="M123" s="149"/>
      <c r="N123" s="157"/>
    </row>
    <row r="124" spans="1:14">
      <c r="A124" s="71">
        <v>1988</v>
      </c>
      <c r="B124" s="73">
        <v>1</v>
      </c>
      <c r="C124" s="140">
        <v>879.2</v>
      </c>
      <c r="D124" s="141">
        <v>0.06</v>
      </c>
      <c r="E124" s="142">
        <v>3447.6</v>
      </c>
      <c r="F124" s="141">
        <v>4.5999999999999999E-2</v>
      </c>
      <c r="G124" s="142">
        <v>2745.3</v>
      </c>
      <c r="H124" s="141">
        <v>0.108</v>
      </c>
      <c r="I124" s="142">
        <v>7072.03</v>
      </c>
      <c r="J124" s="141">
        <v>7.0999999999999994E-2</v>
      </c>
      <c r="K124" s="155"/>
      <c r="L124" s="158"/>
      <c r="M124" s="155"/>
      <c r="N124" s="158"/>
    </row>
    <row r="125" spans="1:14" hidden="1">
      <c r="A125" s="71"/>
      <c r="B125" s="73">
        <v>2</v>
      </c>
      <c r="C125" s="140">
        <v>919.5</v>
      </c>
      <c r="D125" s="141">
        <v>-2.1999999999999999E-2</v>
      </c>
      <c r="E125" s="142">
        <v>3894.9</v>
      </c>
      <c r="F125" s="141">
        <v>1.7000000000000001E-2</v>
      </c>
      <c r="G125" s="142">
        <v>3168</v>
      </c>
      <c r="H125" s="141">
        <v>0.128</v>
      </c>
      <c r="I125" s="142">
        <v>7982.28</v>
      </c>
      <c r="J125" s="141">
        <v>5.2999999999999999E-2</v>
      </c>
      <c r="K125" s="155"/>
      <c r="L125" s="158"/>
      <c r="M125" s="155"/>
      <c r="N125" s="158"/>
    </row>
    <row r="126" spans="1:14" hidden="1">
      <c r="A126" s="77"/>
      <c r="B126" s="73">
        <v>3</v>
      </c>
      <c r="C126" s="140">
        <v>867.3</v>
      </c>
      <c r="D126" s="141">
        <v>4.4999999999999998E-2</v>
      </c>
      <c r="E126" s="142">
        <v>3741.2</v>
      </c>
      <c r="F126" s="141">
        <v>4.3999999999999997E-2</v>
      </c>
      <c r="G126" s="142">
        <v>3014.4</v>
      </c>
      <c r="H126" s="141">
        <v>6.8000000000000005E-2</v>
      </c>
      <c r="I126" s="142">
        <v>7622.92</v>
      </c>
      <c r="J126" s="141">
        <v>5.2999999999999999E-2</v>
      </c>
      <c r="K126" s="155"/>
      <c r="L126" s="158"/>
      <c r="M126" s="155"/>
      <c r="N126" s="158"/>
    </row>
    <row r="127" spans="1:14" hidden="1">
      <c r="A127" s="77"/>
      <c r="B127" s="73">
        <v>4</v>
      </c>
      <c r="C127" s="140">
        <v>919.8</v>
      </c>
      <c r="D127" s="141">
        <v>2.9000000000000001E-2</v>
      </c>
      <c r="E127" s="142">
        <v>4756.3999999999996</v>
      </c>
      <c r="F127" s="141">
        <v>5.1999999999999998E-2</v>
      </c>
      <c r="G127" s="142">
        <v>2843.6</v>
      </c>
      <c r="H127" s="141">
        <v>0.10199999999999999</v>
      </c>
      <c r="I127" s="142">
        <v>8519.85</v>
      </c>
      <c r="J127" s="141">
        <v>6.6000000000000003E-2</v>
      </c>
      <c r="K127" s="155"/>
      <c r="L127" s="158"/>
      <c r="M127" s="155"/>
      <c r="N127" s="158"/>
    </row>
    <row r="128" spans="1:14" hidden="1">
      <c r="A128" s="78"/>
      <c r="B128" s="79"/>
      <c r="C128" s="159"/>
      <c r="D128" s="160"/>
      <c r="E128" s="160"/>
      <c r="F128" s="148"/>
      <c r="G128" s="160"/>
      <c r="H128" s="160"/>
      <c r="I128" s="160"/>
      <c r="J128" s="160"/>
      <c r="K128" s="149"/>
      <c r="L128" s="156"/>
      <c r="M128" s="149"/>
      <c r="N128" s="157"/>
    </row>
    <row r="129" spans="1:14">
      <c r="A129" s="71">
        <v>1987</v>
      </c>
      <c r="B129" s="73">
        <v>1</v>
      </c>
      <c r="C129" s="140">
        <v>829.7</v>
      </c>
      <c r="D129" s="141">
        <v>2.1999999999999999E-2</v>
      </c>
      <c r="E129" s="142">
        <v>3294.8</v>
      </c>
      <c r="F129" s="141">
        <v>8.3000000000000004E-2</v>
      </c>
      <c r="G129" s="142">
        <v>2478.8000000000002</v>
      </c>
      <c r="H129" s="141">
        <v>0.16400000000000001</v>
      </c>
      <c r="I129" s="142">
        <v>6603.32</v>
      </c>
      <c r="J129" s="141">
        <v>0.104</v>
      </c>
      <c r="K129" s="155"/>
      <c r="L129" s="158"/>
      <c r="M129" s="155"/>
      <c r="N129" s="158"/>
    </row>
    <row r="130" spans="1:14" hidden="1">
      <c r="A130" s="71"/>
      <c r="B130" s="73">
        <v>2</v>
      </c>
      <c r="C130" s="140">
        <v>940.2</v>
      </c>
      <c r="D130" s="141">
        <v>3.6999999999999998E-2</v>
      </c>
      <c r="E130" s="142">
        <v>3828.5</v>
      </c>
      <c r="F130" s="141">
        <v>7.9000000000000001E-2</v>
      </c>
      <c r="G130" s="142">
        <v>2809.4</v>
      </c>
      <c r="H130" s="141">
        <v>0.156</v>
      </c>
      <c r="I130" s="142">
        <v>7578.07</v>
      </c>
      <c r="J130" s="141">
        <v>0.1</v>
      </c>
      <c r="K130" s="155"/>
      <c r="L130" s="158"/>
      <c r="M130" s="155"/>
      <c r="N130" s="158"/>
    </row>
    <row r="131" spans="1:14" hidden="1">
      <c r="A131" s="77"/>
      <c r="B131" s="73">
        <v>3</v>
      </c>
      <c r="C131" s="140">
        <v>830.3</v>
      </c>
      <c r="D131" s="141">
        <v>8.5000000000000006E-2</v>
      </c>
      <c r="E131" s="142">
        <v>3583.7</v>
      </c>
      <c r="F131" s="141">
        <v>6.9000000000000006E-2</v>
      </c>
      <c r="G131" s="142">
        <v>2823</v>
      </c>
      <c r="H131" s="141">
        <v>0.151</v>
      </c>
      <c r="I131" s="142">
        <v>7236.99</v>
      </c>
      <c r="J131" s="141">
        <v>0.10199999999999999</v>
      </c>
      <c r="K131" s="155"/>
      <c r="L131" s="158"/>
      <c r="M131" s="155"/>
      <c r="N131" s="158"/>
    </row>
    <row r="132" spans="1:14" hidden="1">
      <c r="A132" s="77"/>
      <c r="B132" s="73">
        <v>4</v>
      </c>
      <c r="C132" s="140">
        <v>893.9</v>
      </c>
      <c r="D132" s="141">
        <v>3.0000000000000001E-3</v>
      </c>
      <c r="E132" s="142">
        <v>4519.6000000000004</v>
      </c>
      <c r="F132" s="141">
        <v>3.4000000000000002E-2</v>
      </c>
      <c r="G132" s="142">
        <v>2579.9</v>
      </c>
      <c r="H132" s="141">
        <v>0.126</v>
      </c>
      <c r="I132" s="142">
        <v>7993.35</v>
      </c>
      <c r="J132" s="141">
        <v>5.8999999999999997E-2</v>
      </c>
      <c r="K132" s="155"/>
      <c r="L132" s="158"/>
      <c r="M132" s="155"/>
      <c r="N132" s="158"/>
    </row>
    <row r="133" spans="1:14" hidden="1">
      <c r="A133" s="78"/>
      <c r="B133" s="79"/>
      <c r="C133" s="159"/>
      <c r="D133" s="160"/>
      <c r="E133" s="160"/>
      <c r="F133" s="148"/>
      <c r="G133" s="160"/>
      <c r="H133" s="160"/>
      <c r="I133" s="160"/>
      <c r="J133" s="160"/>
      <c r="K133" s="149"/>
      <c r="L133" s="156"/>
      <c r="M133" s="149"/>
      <c r="N133" s="157"/>
    </row>
    <row r="134" spans="1:14">
      <c r="A134" s="71">
        <v>1986</v>
      </c>
      <c r="B134" s="73">
        <v>1</v>
      </c>
      <c r="C134" s="140">
        <v>812</v>
      </c>
      <c r="D134" s="141">
        <v>1.2999999999999999E-2</v>
      </c>
      <c r="E134" s="142">
        <v>3041.3</v>
      </c>
      <c r="F134" s="141">
        <v>1.4E-2</v>
      </c>
      <c r="G134" s="142">
        <v>2129.8000000000002</v>
      </c>
      <c r="H134" s="141">
        <v>8.1000000000000003E-2</v>
      </c>
      <c r="I134" s="142">
        <v>5983.04</v>
      </c>
      <c r="J134" s="141">
        <v>3.6999999999999998E-2</v>
      </c>
      <c r="K134" s="155"/>
      <c r="L134" s="158"/>
      <c r="M134" s="155"/>
      <c r="N134" s="158"/>
    </row>
    <row r="135" spans="1:14" hidden="1">
      <c r="A135" s="71"/>
      <c r="B135" s="73">
        <v>2</v>
      </c>
      <c r="C135" s="140">
        <v>907</v>
      </c>
      <c r="D135" s="141">
        <v>6.8000000000000005E-2</v>
      </c>
      <c r="E135" s="142">
        <v>3548.3</v>
      </c>
      <c r="F135" s="141">
        <v>7.8E-2</v>
      </c>
      <c r="G135" s="142">
        <v>2430.3000000000002</v>
      </c>
      <c r="H135" s="141">
        <v>0.10100000000000001</v>
      </c>
      <c r="I135" s="142">
        <v>6886.07</v>
      </c>
      <c r="J135" s="141">
        <v>8.5000000000000006E-2</v>
      </c>
      <c r="K135" s="155"/>
      <c r="L135" s="158"/>
      <c r="M135" s="155"/>
      <c r="N135" s="158"/>
    </row>
    <row r="136" spans="1:14" hidden="1">
      <c r="A136" s="77"/>
      <c r="B136" s="73">
        <v>3</v>
      </c>
      <c r="C136" s="140">
        <v>765.3</v>
      </c>
      <c r="D136" s="141">
        <v>6.0000000000000001E-3</v>
      </c>
      <c r="E136" s="142">
        <v>3352.6</v>
      </c>
      <c r="F136" s="141">
        <v>7.0000000000000007E-2</v>
      </c>
      <c r="G136" s="142">
        <v>2451.8000000000002</v>
      </c>
      <c r="H136" s="141">
        <v>0.11899999999999999</v>
      </c>
      <c r="I136" s="142">
        <v>6569.71</v>
      </c>
      <c r="J136" s="141">
        <v>7.9000000000000001E-2</v>
      </c>
      <c r="K136" s="155"/>
      <c r="L136" s="158"/>
      <c r="M136" s="155"/>
      <c r="N136" s="158"/>
    </row>
    <row r="137" spans="1:14" hidden="1">
      <c r="A137" s="77"/>
      <c r="B137" s="73">
        <v>4</v>
      </c>
      <c r="C137" s="140">
        <v>891.3</v>
      </c>
      <c r="D137" s="141">
        <v>-5.1999999999999998E-2</v>
      </c>
      <c r="E137" s="142">
        <v>4369.1000000000004</v>
      </c>
      <c r="F137" s="141">
        <v>8.6999999999999994E-2</v>
      </c>
      <c r="G137" s="142">
        <v>2290.1999999999998</v>
      </c>
      <c r="H137" s="141">
        <v>0.14099999999999999</v>
      </c>
      <c r="I137" s="142">
        <v>7550.53</v>
      </c>
      <c r="J137" s="141">
        <v>8.4000000000000005E-2</v>
      </c>
      <c r="K137" s="155"/>
      <c r="L137" s="158"/>
      <c r="M137" s="155"/>
      <c r="N137" s="158"/>
    </row>
    <row r="138" spans="1:14" hidden="1">
      <c r="A138" s="78"/>
      <c r="B138" s="79"/>
      <c r="C138" s="159"/>
      <c r="D138" s="160"/>
      <c r="E138" s="160"/>
      <c r="F138" s="148"/>
      <c r="G138" s="160"/>
      <c r="H138" s="160"/>
      <c r="I138" s="160"/>
      <c r="J138" s="160"/>
      <c r="K138" s="149"/>
      <c r="L138" s="156"/>
      <c r="M138" s="149"/>
      <c r="N138" s="157"/>
    </row>
    <row r="139" spans="1:14">
      <c r="A139" s="71">
        <v>1985</v>
      </c>
      <c r="B139" s="73">
        <v>1</v>
      </c>
      <c r="C139" s="140">
        <v>801.3</v>
      </c>
      <c r="D139" s="141">
        <v>0.128</v>
      </c>
      <c r="E139" s="142">
        <v>2998.7</v>
      </c>
      <c r="F139" s="141">
        <v>7.9000000000000001E-2</v>
      </c>
      <c r="G139" s="142">
        <v>1969.5</v>
      </c>
      <c r="H139" s="141">
        <v>0.14199999999999999</v>
      </c>
      <c r="I139" s="142">
        <v>5769.47</v>
      </c>
      <c r="J139" s="141">
        <v>0.107</v>
      </c>
      <c r="K139" s="155"/>
      <c r="L139" s="158"/>
      <c r="M139" s="155"/>
      <c r="N139" s="158"/>
    </row>
    <row r="140" spans="1:14" hidden="1">
      <c r="A140" s="71"/>
      <c r="B140" s="73">
        <v>2</v>
      </c>
      <c r="C140" s="140">
        <v>849.5</v>
      </c>
      <c r="D140" s="141">
        <v>7.1999999999999995E-2</v>
      </c>
      <c r="E140" s="142">
        <v>3290.6</v>
      </c>
      <c r="F140" s="141">
        <v>0.01</v>
      </c>
      <c r="G140" s="142">
        <v>2207</v>
      </c>
      <c r="H140" s="141">
        <v>9.8000000000000004E-2</v>
      </c>
      <c r="I140" s="142">
        <v>6347.05</v>
      </c>
      <c r="J140" s="141">
        <v>4.7E-2</v>
      </c>
      <c r="K140" s="155"/>
      <c r="L140" s="158"/>
      <c r="M140" s="155"/>
      <c r="N140" s="158"/>
    </row>
    <row r="141" spans="1:14" hidden="1">
      <c r="A141" s="77"/>
      <c r="B141" s="73">
        <v>3</v>
      </c>
      <c r="C141" s="140">
        <v>760.9</v>
      </c>
      <c r="D141" s="141">
        <v>8.7999999999999995E-2</v>
      </c>
      <c r="E141" s="142">
        <v>3134.5</v>
      </c>
      <c r="F141" s="141">
        <v>4.2999999999999997E-2</v>
      </c>
      <c r="G141" s="142">
        <v>2191.6</v>
      </c>
      <c r="H141" s="141">
        <v>7.2999999999999995E-2</v>
      </c>
      <c r="I141" s="142">
        <v>6086.94</v>
      </c>
      <c r="J141" s="141">
        <v>5.8999999999999997E-2</v>
      </c>
      <c r="K141" s="155"/>
      <c r="L141" s="158"/>
      <c r="M141" s="155"/>
      <c r="N141" s="158"/>
    </row>
    <row r="142" spans="1:14" hidden="1">
      <c r="A142" s="77"/>
      <c r="B142" s="73">
        <v>4</v>
      </c>
      <c r="C142" s="140">
        <v>940.3</v>
      </c>
      <c r="D142" s="141">
        <v>6.9000000000000006E-2</v>
      </c>
      <c r="E142" s="142">
        <v>4019.1</v>
      </c>
      <c r="F142" s="141">
        <v>7.3999999999999996E-2</v>
      </c>
      <c r="G142" s="142">
        <v>2007.6</v>
      </c>
      <c r="H142" s="141">
        <v>6.8000000000000005E-2</v>
      </c>
      <c r="I142" s="142">
        <v>6966.96</v>
      </c>
      <c r="J142" s="141">
        <v>7.1999999999999995E-2</v>
      </c>
      <c r="K142" s="155"/>
      <c r="L142" s="158"/>
      <c r="M142" s="155"/>
      <c r="N142" s="158"/>
    </row>
    <row r="143" spans="1:14" hidden="1">
      <c r="A143" s="78"/>
      <c r="B143" s="79"/>
      <c r="C143" s="159"/>
      <c r="D143" s="160"/>
      <c r="E143" s="160"/>
      <c r="F143" s="148"/>
      <c r="G143" s="160"/>
      <c r="H143" s="160"/>
      <c r="I143" s="160"/>
      <c r="J143" s="160"/>
      <c r="K143" s="149"/>
      <c r="L143" s="156"/>
      <c r="M143" s="149"/>
      <c r="N143" s="157"/>
    </row>
    <row r="144" spans="1:14">
      <c r="A144" s="71">
        <v>1984</v>
      </c>
      <c r="B144" s="73">
        <v>1</v>
      </c>
      <c r="C144" s="140">
        <v>710.1</v>
      </c>
      <c r="D144" s="141">
        <v>7.9000000000000001E-2</v>
      </c>
      <c r="E144" s="142">
        <v>2779.4</v>
      </c>
      <c r="F144" s="141">
        <v>0.104</v>
      </c>
      <c r="G144" s="142">
        <v>1724.2</v>
      </c>
      <c r="H144" s="141">
        <v>0.32100000000000001</v>
      </c>
      <c r="I144" s="142">
        <v>5213.68</v>
      </c>
      <c r="J144" s="141">
        <v>0.16400000000000001</v>
      </c>
      <c r="K144" s="155"/>
      <c r="L144" s="158"/>
      <c r="M144" s="155"/>
      <c r="N144" s="158"/>
    </row>
    <row r="145" spans="1:14" hidden="1">
      <c r="A145" s="71"/>
      <c r="B145" s="73">
        <v>2</v>
      </c>
      <c r="C145" s="140">
        <v>792.3</v>
      </c>
      <c r="D145" s="141">
        <v>0.11700000000000001</v>
      </c>
      <c r="E145" s="142">
        <v>3258.8</v>
      </c>
      <c r="F145" s="141">
        <v>0.11799999999999999</v>
      </c>
      <c r="G145" s="142">
        <v>2009.6</v>
      </c>
      <c r="H145" s="141">
        <v>0.317</v>
      </c>
      <c r="I145" s="142">
        <v>6060.62</v>
      </c>
      <c r="J145" s="141">
        <v>0.17699999999999999</v>
      </c>
      <c r="K145" s="155"/>
      <c r="L145" s="158"/>
      <c r="M145" s="155"/>
      <c r="N145" s="158"/>
    </row>
    <row r="146" spans="1:14" hidden="1">
      <c r="A146" s="77"/>
      <c r="B146" s="73">
        <v>3</v>
      </c>
      <c r="C146" s="140">
        <v>699.6</v>
      </c>
      <c r="D146" s="141">
        <v>0.156</v>
      </c>
      <c r="E146" s="142">
        <v>3004.8</v>
      </c>
      <c r="F146" s="141">
        <v>7.6999999999999999E-2</v>
      </c>
      <c r="G146" s="142">
        <v>2043.3</v>
      </c>
      <c r="H146" s="141">
        <v>0.28199999999999997</v>
      </c>
      <c r="I146" s="142">
        <v>5747.78</v>
      </c>
      <c r="J146" s="141">
        <v>0.152</v>
      </c>
      <c r="K146" s="155"/>
      <c r="L146" s="158"/>
      <c r="M146" s="155"/>
      <c r="N146" s="158"/>
    </row>
    <row r="147" spans="1:14" hidden="1">
      <c r="A147" s="77"/>
      <c r="B147" s="73">
        <v>4</v>
      </c>
      <c r="C147" s="140">
        <v>879.4</v>
      </c>
      <c r="D147" s="141">
        <v>-0.156</v>
      </c>
      <c r="E147" s="142">
        <v>3741</v>
      </c>
      <c r="F147" s="141">
        <v>3.4000000000000002E-2</v>
      </c>
      <c r="G147" s="142">
        <v>1880.1</v>
      </c>
      <c r="H147" s="141">
        <v>0.189</v>
      </c>
      <c r="I147" s="142">
        <v>6500.56</v>
      </c>
      <c r="J147" s="141">
        <v>0.09</v>
      </c>
      <c r="K147" s="155"/>
      <c r="L147" s="158"/>
      <c r="M147" s="155"/>
      <c r="N147" s="158"/>
    </row>
    <row r="148" spans="1:14" hidden="1">
      <c r="A148" s="78"/>
      <c r="B148" s="79"/>
      <c r="C148" s="159"/>
      <c r="D148" s="160"/>
      <c r="E148" s="160"/>
      <c r="F148" s="148"/>
      <c r="G148" s="160"/>
      <c r="H148" s="160"/>
      <c r="I148" s="160"/>
      <c r="J148" s="160"/>
      <c r="K148" s="149"/>
      <c r="L148" s="156"/>
      <c r="M148" s="149"/>
      <c r="N148" s="157"/>
    </row>
    <row r="149" spans="1:14">
      <c r="A149" s="71">
        <v>1983</v>
      </c>
      <c r="B149" s="73">
        <v>1</v>
      </c>
      <c r="C149" s="140">
        <v>657.9</v>
      </c>
      <c r="D149" s="141">
        <v>6.5000000000000002E-2</v>
      </c>
      <c r="E149" s="142">
        <v>2516.5</v>
      </c>
      <c r="F149" s="141">
        <v>0.13</v>
      </c>
      <c r="G149" s="142">
        <v>1305.7</v>
      </c>
      <c r="H149" s="141">
        <v>0.16700000000000001</v>
      </c>
      <c r="I149" s="142">
        <v>4480.16</v>
      </c>
      <c r="J149" s="141">
        <v>0.13</v>
      </c>
      <c r="K149" s="155"/>
      <c r="L149" s="158"/>
      <c r="M149" s="155"/>
      <c r="N149" s="158"/>
    </row>
    <row r="150" spans="1:14" hidden="1">
      <c r="A150" s="71"/>
      <c r="B150" s="73">
        <v>2</v>
      </c>
      <c r="C150" s="140">
        <v>709.6</v>
      </c>
      <c r="D150" s="141">
        <v>0.06</v>
      </c>
      <c r="E150" s="142">
        <v>2915.4</v>
      </c>
      <c r="F150" s="141">
        <v>0.109</v>
      </c>
      <c r="G150" s="142">
        <v>1525.8</v>
      </c>
      <c r="H150" s="141">
        <v>0.24299999999999999</v>
      </c>
      <c r="I150" s="142">
        <v>5150.6899999999996</v>
      </c>
      <c r="J150" s="141">
        <v>0.13800000000000001</v>
      </c>
      <c r="K150" s="155"/>
      <c r="L150" s="158"/>
      <c r="M150" s="155"/>
      <c r="N150" s="158"/>
    </row>
    <row r="151" spans="1:14" hidden="1">
      <c r="A151" s="77"/>
      <c r="B151" s="73">
        <v>3</v>
      </c>
      <c r="C151" s="140">
        <v>605.4</v>
      </c>
      <c r="D151" s="141">
        <v>0.217</v>
      </c>
      <c r="E151" s="142">
        <v>2789.9</v>
      </c>
      <c r="F151" s="141">
        <v>0.151</v>
      </c>
      <c r="G151" s="142">
        <v>1593.6</v>
      </c>
      <c r="H151" s="141">
        <v>0.26400000000000001</v>
      </c>
      <c r="I151" s="142">
        <v>4988.91</v>
      </c>
      <c r="J151" s="141">
        <v>0.193</v>
      </c>
      <c r="K151" s="155"/>
      <c r="L151" s="158"/>
      <c r="M151" s="155"/>
      <c r="N151" s="158"/>
    </row>
    <row r="152" spans="1:14" hidden="1">
      <c r="A152" s="77"/>
      <c r="B152" s="73">
        <v>4</v>
      </c>
      <c r="C152" s="140">
        <v>760.9</v>
      </c>
      <c r="D152" s="141">
        <v>0.14000000000000001</v>
      </c>
      <c r="E152" s="142">
        <v>3619.5</v>
      </c>
      <c r="F152" s="141">
        <v>0.16300000000000001</v>
      </c>
      <c r="G152" s="142">
        <v>1581.3</v>
      </c>
      <c r="H152" s="141">
        <v>0.27100000000000002</v>
      </c>
      <c r="I152" s="142">
        <v>5961.77</v>
      </c>
      <c r="J152" s="141">
        <v>0.187</v>
      </c>
      <c r="K152" s="155"/>
      <c r="L152" s="158"/>
      <c r="M152" s="155"/>
      <c r="N152" s="158"/>
    </row>
    <row r="153" spans="1:14" hidden="1">
      <c r="A153" s="78"/>
      <c r="B153" s="79"/>
      <c r="C153" s="159"/>
      <c r="D153" s="160"/>
      <c r="E153" s="160"/>
      <c r="F153" s="148"/>
      <c r="G153" s="160"/>
      <c r="H153" s="160"/>
      <c r="I153" s="160"/>
      <c r="J153" s="160"/>
      <c r="K153" s="149"/>
      <c r="L153" s="156"/>
      <c r="M153" s="149"/>
      <c r="N153" s="157"/>
    </row>
    <row r="154" spans="1:14">
      <c r="A154" s="71">
        <v>1982</v>
      </c>
      <c r="B154" s="73">
        <v>1</v>
      </c>
      <c r="C154" s="140">
        <v>617.79999999999995</v>
      </c>
      <c r="D154" s="141">
        <v>0.13200000000000001</v>
      </c>
      <c r="E154" s="142">
        <v>2226.3000000000002</v>
      </c>
      <c r="F154" s="141">
        <v>0.114</v>
      </c>
      <c r="G154" s="142">
        <v>1119.2</v>
      </c>
      <c r="H154" s="141">
        <v>2.8000000000000001E-2</v>
      </c>
      <c r="I154" s="142">
        <v>3963.19</v>
      </c>
      <c r="J154" s="141">
        <v>9.0999999999999998E-2</v>
      </c>
      <c r="K154" s="155"/>
      <c r="L154" s="158"/>
      <c r="M154" s="155"/>
      <c r="N154" s="158"/>
    </row>
    <row r="155" spans="1:14" hidden="1">
      <c r="A155" s="71"/>
      <c r="B155" s="73">
        <v>2</v>
      </c>
      <c r="C155" s="140">
        <v>669.5</v>
      </c>
      <c r="D155" s="141">
        <v>9.2999999999999999E-2</v>
      </c>
      <c r="E155" s="142">
        <v>2628.6</v>
      </c>
      <c r="F155" s="141">
        <v>6.5000000000000002E-2</v>
      </c>
      <c r="G155" s="142">
        <v>1227.9000000000001</v>
      </c>
      <c r="H155" s="141">
        <v>2.9000000000000001E-2</v>
      </c>
      <c r="I155" s="142">
        <v>4525.97</v>
      </c>
      <c r="J155" s="141">
        <v>5.8999999999999997E-2</v>
      </c>
      <c r="K155" s="155"/>
      <c r="L155" s="158"/>
      <c r="M155" s="155"/>
      <c r="N155" s="158"/>
    </row>
    <row r="156" spans="1:14" hidden="1">
      <c r="A156" s="77"/>
      <c r="B156" s="73">
        <v>3</v>
      </c>
      <c r="C156" s="140">
        <v>497.4</v>
      </c>
      <c r="D156" s="141">
        <v>-2.4E-2</v>
      </c>
      <c r="E156" s="142">
        <v>2423.9</v>
      </c>
      <c r="F156" s="141">
        <v>4.4999999999999998E-2</v>
      </c>
      <c r="G156" s="142">
        <v>1261.0999999999999</v>
      </c>
      <c r="H156" s="141">
        <v>3.9E-2</v>
      </c>
      <c r="I156" s="142">
        <v>4182.4399999999996</v>
      </c>
      <c r="J156" s="141">
        <v>3.4000000000000002E-2</v>
      </c>
      <c r="K156" s="155"/>
      <c r="L156" s="158"/>
      <c r="M156" s="155"/>
      <c r="N156" s="158"/>
    </row>
    <row r="157" spans="1:14" hidden="1">
      <c r="A157" s="77"/>
      <c r="B157" s="73">
        <v>4</v>
      </c>
      <c r="C157" s="140">
        <v>667.2</v>
      </c>
      <c r="D157" s="141">
        <v>0.13</v>
      </c>
      <c r="E157" s="142">
        <v>3110.9</v>
      </c>
      <c r="F157" s="141">
        <v>7.2999999999999995E-2</v>
      </c>
      <c r="G157" s="142">
        <v>1243.8</v>
      </c>
      <c r="H157" s="141">
        <v>0.14399999999999999</v>
      </c>
      <c r="I157" s="142">
        <v>5021.92</v>
      </c>
      <c r="J157" s="141">
        <v>9.7000000000000003E-2</v>
      </c>
      <c r="K157" s="155"/>
      <c r="L157" s="158"/>
      <c r="M157" s="155"/>
      <c r="N157" s="158"/>
    </row>
    <row r="158" spans="1:14" hidden="1">
      <c r="A158" s="78"/>
      <c r="B158" s="79"/>
      <c r="C158" s="159"/>
      <c r="D158" s="160"/>
      <c r="E158" s="160"/>
      <c r="F158" s="148"/>
      <c r="G158" s="160"/>
      <c r="H158" s="160"/>
      <c r="I158" s="160"/>
      <c r="J158" s="160"/>
      <c r="K158" s="149"/>
      <c r="L158" s="156"/>
      <c r="M158" s="149"/>
      <c r="N158" s="157"/>
    </row>
    <row r="159" spans="1:14">
      <c r="A159" s="71">
        <v>1981</v>
      </c>
      <c r="B159" s="73">
        <v>1</v>
      </c>
      <c r="C159" s="140">
        <v>545.70000000000005</v>
      </c>
      <c r="D159" s="141">
        <v>0.21299999999999999</v>
      </c>
      <c r="E159" s="142">
        <v>1998.4</v>
      </c>
      <c r="F159" s="141">
        <v>0.113</v>
      </c>
      <c r="G159" s="142">
        <v>1089.0999999999999</v>
      </c>
      <c r="H159" s="141">
        <v>9.0999999999999998E-2</v>
      </c>
      <c r="I159" s="142">
        <v>3633.12</v>
      </c>
      <c r="J159" s="141">
        <v>0.12</v>
      </c>
      <c r="K159" s="155"/>
      <c r="L159" s="158"/>
      <c r="M159" s="155"/>
      <c r="N159" s="158"/>
    </row>
    <row r="160" spans="1:14" hidden="1">
      <c r="A160" s="71"/>
      <c r="B160" s="73">
        <v>2</v>
      </c>
      <c r="C160" s="140">
        <v>612.4</v>
      </c>
      <c r="D160" s="141">
        <v>0.20499999999999999</v>
      </c>
      <c r="E160" s="142">
        <v>2467.4</v>
      </c>
      <c r="F160" s="141">
        <v>0.20200000000000001</v>
      </c>
      <c r="G160" s="142">
        <v>1193.4000000000001</v>
      </c>
      <c r="H160" s="141">
        <v>0.14799999999999999</v>
      </c>
      <c r="I160" s="142">
        <v>4273.1400000000003</v>
      </c>
      <c r="J160" s="141">
        <v>0.187</v>
      </c>
      <c r="K160" s="155"/>
      <c r="L160" s="158"/>
      <c r="M160" s="155"/>
      <c r="N160" s="158"/>
    </row>
    <row r="161" spans="1:14" hidden="1">
      <c r="A161" s="77"/>
      <c r="B161" s="73">
        <v>3</v>
      </c>
      <c r="C161" s="140">
        <v>509.8</v>
      </c>
      <c r="D161" s="141">
        <v>0.123</v>
      </c>
      <c r="E161" s="142">
        <v>2320.6</v>
      </c>
      <c r="F161" s="141">
        <v>0.114</v>
      </c>
      <c r="G161" s="142">
        <v>1213.8</v>
      </c>
      <c r="H161" s="141">
        <v>0.105</v>
      </c>
      <c r="I161" s="142">
        <v>4044.21</v>
      </c>
      <c r="J161" s="141">
        <v>0.112</v>
      </c>
      <c r="K161" s="155"/>
      <c r="L161" s="158"/>
      <c r="M161" s="155"/>
      <c r="N161" s="158"/>
    </row>
    <row r="162" spans="1:14" hidden="1">
      <c r="A162" s="77"/>
      <c r="B162" s="73">
        <v>4</v>
      </c>
      <c r="C162" s="140">
        <v>590.5</v>
      </c>
      <c r="D162" s="141">
        <v>7.0999999999999994E-2</v>
      </c>
      <c r="E162" s="142">
        <v>2899.6</v>
      </c>
      <c r="F162" s="141">
        <v>8.4000000000000005E-2</v>
      </c>
      <c r="G162" s="142">
        <v>1087.2</v>
      </c>
      <c r="H162" s="141">
        <v>2E-3</v>
      </c>
      <c r="I162" s="142">
        <v>4577.29</v>
      </c>
      <c r="J162" s="141">
        <v>6.2E-2</v>
      </c>
      <c r="K162" s="155"/>
      <c r="L162" s="158"/>
      <c r="M162" s="155"/>
      <c r="N162" s="158"/>
    </row>
    <row r="163" spans="1:14" hidden="1">
      <c r="A163" s="78"/>
      <c r="B163" s="79"/>
      <c r="C163" s="159"/>
      <c r="D163" s="160"/>
      <c r="E163" s="160"/>
      <c r="F163" s="148"/>
      <c r="G163" s="160"/>
      <c r="H163" s="160"/>
      <c r="I163" s="160"/>
      <c r="J163" s="160"/>
      <c r="K163" s="149"/>
      <c r="L163" s="156"/>
      <c r="M163" s="149"/>
      <c r="N163" s="157"/>
    </row>
    <row r="164" spans="1:14">
      <c r="A164" s="71">
        <v>1980</v>
      </c>
      <c r="B164" s="73">
        <v>1</v>
      </c>
      <c r="C164" s="140">
        <v>449.8</v>
      </c>
      <c r="D164" s="141">
        <v>0.17</v>
      </c>
      <c r="E164" s="142">
        <v>1796.2</v>
      </c>
      <c r="F164" s="141">
        <v>0.14199999999999999</v>
      </c>
      <c r="G164" s="155">
        <v>998.6</v>
      </c>
      <c r="H164" s="141">
        <v>9.6000000000000002E-2</v>
      </c>
      <c r="I164" s="142">
        <v>3244.66</v>
      </c>
      <c r="J164" s="141">
        <v>0.13100000000000001</v>
      </c>
      <c r="K164" s="155"/>
      <c r="L164" s="158"/>
      <c r="M164" s="155"/>
      <c r="N164" s="158"/>
    </row>
    <row r="165" spans="1:14" hidden="1">
      <c r="A165" s="71"/>
      <c r="B165" s="73">
        <v>2</v>
      </c>
      <c r="C165" s="140">
        <v>508.1</v>
      </c>
      <c r="D165" s="141">
        <v>0.13</v>
      </c>
      <c r="E165" s="142">
        <v>2053.3000000000002</v>
      </c>
      <c r="F165" s="141">
        <v>8.5000000000000006E-2</v>
      </c>
      <c r="G165" s="142">
        <v>1039.8</v>
      </c>
      <c r="H165" s="141">
        <v>-0.04</v>
      </c>
      <c r="I165" s="142">
        <v>3601.27</v>
      </c>
      <c r="J165" s="141">
        <v>5.0999999999999997E-2</v>
      </c>
      <c r="K165" s="155"/>
      <c r="L165" s="158"/>
      <c r="M165" s="155"/>
      <c r="N165" s="158"/>
    </row>
    <row r="166" spans="1:14" hidden="1">
      <c r="A166" s="77"/>
      <c r="B166" s="73">
        <v>3</v>
      </c>
      <c r="C166" s="140">
        <v>453.8</v>
      </c>
      <c r="D166" s="141">
        <v>6.3E-2</v>
      </c>
      <c r="E166" s="142">
        <v>2083.3000000000002</v>
      </c>
      <c r="F166" s="141">
        <v>6.6000000000000003E-2</v>
      </c>
      <c r="G166" s="142">
        <v>1098.9000000000001</v>
      </c>
      <c r="H166" s="141">
        <v>-4.9000000000000002E-2</v>
      </c>
      <c r="I166" s="142">
        <v>3636.04</v>
      </c>
      <c r="J166" s="141">
        <v>2.8000000000000001E-2</v>
      </c>
      <c r="K166" s="155"/>
      <c r="L166" s="158"/>
      <c r="M166" s="155"/>
      <c r="N166" s="158"/>
    </row>
    <row r="167" spans="1:14" hidden="1">
      <c r="A167" s="77"/>
      <c r="B167" s="73">
        <v>4</v>
      </c>
      <c r="C167" s="140">
        <v>551.20000000000005</v>
      </c>
      <c r="D167" s="141">
        <v>8.3000000000000004E-2</v>
      </c>
      <c r="E167" s="142">
        <v>2676.1</v>
      </c>
      <c r="F167" s="141">
        <v>0.10299999999999999</v>
      </c>
      <c r="G167" s="142">
        <v>1084.7</v>
      </c>
      <c r="H167" s="141">
        <v>-1.2E-2</v>
      </c>
      <c r="I167" s="142">
        <v>4312.03</v>
      </c>
      <c r="J167" s="141">
        <v>6.9000000000000006E-2</v>
      </c>
      <c r="K167" s="155"/>
      <c r="L167" s="158"/>
      <c r="M167" s="155"/>
      <c r="N167" s="158"/>
    </row>
    <row r="168" spans="1:14" hidden="1">
      <c r="A168" s="78"/>
      <c r="B168" s="79"/>
      <c r="C168" s="159"/>
      <c r="D168" s="160"/>
      <c r="E168" s="160"/>
      <c r="F168" s="148"/>
      <c r="G168" s="160"/>
      <c r="H168" s="160"/>
      <c r="I168" s="160"/>
      <c r="J168" s="160"/>
      <c r="K168" s="149"/>
      <c r="L168" s="156"/>
      <c r="M168" s="149"/>
      <c r="N168" s="157"/>
    </row>
    <row r="169" spans="1:14">
      <c r="A169" s="71">
        <v>1979</v>
      </c>
      <c r="B169" s="73">
        <v>1</v>
      </c>
      <c r="C169" s="140">
        <v>384.3</v>
      </c>
      <c r="D169" s="141">
        <v>0.13200000000000001</v>
      </c>
      <c r="E169" s="142">
        <v>1572.3</v>
      </c>
      <c r="F169" s="141">
        <v>9.4E-2</v>
      </c>
      <c r="G169" s="155">
        <v>911</v>
      </c>
      <c r="H169" s="141">
        <v>0.219</v>
      </c>
      <c r="I169" s="142">
        <v>2867.71</v>
      </c>
      <c r="J169" s="141">
        <v>0.13600000000000001</v>
      </c>
      <c r="K169" s="155"/>
      <c r="L169" s="158"/>
      <c r="M169" s="155"/>
      <c r="N169" s="158"/>
    </row>
    <row r="170" spans="1:14" hidden="1">
      <c r="A170" s="71"/>
      <c r="B170" s="73">
        <v>2</v>
      </c>
      <c r="C170" s="140">
        <v>449.8</v>
      </c>
      <c r="D170" s="141">
        <v>9.9000000000000005E-2</v>
      </c>
      <c r="E170" s="142">
        <v>1893</v>
      </c>
      <c r="F170" s="141">
        <v>8.8999999999999996E-2</v>
      </c>
      <c r="G170" s="142">
        <v>1083.5999999999999</v>
      </c>
      <c r="H170" s="141">
        <v>0.13900000000000001</v>
      </c>
      <c r="I170" s="142">
        <v>3426.31</v>
      </c>
      <c r="J170" s="141">
        <v>0.106</v>
      </c>
      <c r="K170" s="155"/>
      <c r="L170" s="158"/>
      <c r="M170" s="155"/>
      <c r="N170" s="158"/>
    </row>
    <row r="171" spans="1:14" hidden="1">
      <c r="A171" s="77"/>
      <c r="B171" s="73">
        <v>3</v>
      </c>
      <c r="C171" s="140">
        <v>426.8</v>
      </c>
      <c r="D171" s="141">
        <v>0.251</v>
      </c>
      <c r="E171" s="142">
        <v>1954.3</v>
      </c>
      <c r="F171" s="141">
        <v>0.16400000000000001</v>
      </c>
      <c r="G171" s="142">
        <v>1155.5999999999999</v>
      </c>
      <c r="H171" s="141">
        <v>0.185</v>
      </c>
      <c r="I171" s="142">
        <v>3536.67</v>
      </c>
      <c r="J171" s="141">
        <v>0.18099999999999999</v>
      </c>
      <c r="K171" s="155"/>
      <c r="L171" s="158"/>
      <c r="M171" s="155"/>
      <c r="N171" s="158"/>
    </row>
    <row r="172" spans="1:14" hidden="1">
      <c r="A172" s="77"/>
      <c r="B172" s="73">
        <v>4</v>
      </c>
      <c r="C172" s="140">
        <v>509.1</v>
      </c>
      <c r="D172" s="141">
        <v>0.129</v>
      </c>
      <c r="E172" s="142">
        <v>2425.4</v>
      </c>
      <c r="F172" s="141">
        <v>0.11799999999999999</v>
      </c>
      <c r="G172" s="142">
        <v>1097.8</v>
      </c>
      <c r="H172" s="141">
        <v>0.126</v>
      </c>
      <c r="I172" s="142">
        <v>4032.3</v>
      </c>
      <c r="J172" s="141">
        <v>0.121</v>
      </c>
      <c r="K172" s="155"/>
      <c r="L172" s="158"/>
      <c r="M172" s="155"/>
      <c r="N172" s="158"/>
    </row>
    <row r="173" spans="1:14" hidden="1">
      <c r="A173" s="78"/>
      <c r="B173" s="79"/>
      <c r="C173" s="159"/>
      <c r="D173" s="160"/>
      <c r="E173" s="160"/>
      <c r="F173" s="148"/>
      <c r="G173" s="160"/>
      <c r="H173" s="160"/>
      <c r="I173" s="160"/>
      <c r="J173" s="160"/>
      <c r="K173" s="149"/>
      <c r="L173" s="156"/>
      <c r="M173" s="149"/>
      <c r="N173" s="157"/>
    </row>
    <row r="174" spans="1:14">
      <c r="A174" s="71">
        <v>1978</v>
      </c>
      <c r="B174" s="73">
        <v>1</v>
      </c>
      <c r="C174" s="140">
        <v>339.4</v>
      </c>
      <c r="D174" s="141">
        <v>7.8E-2</v>
      </c>
      <c r="E174" s="142">
        <v>1437</v>
      </c>
      <c r="F174" s="141">
        <v>0.13500000000000001</v>
      </c>
      <c r="G174" s="155">
        <v>747.6</v>
      </c>
      <c r="H174" s="141">
        <v>0.19500000000000001</v>
      </c>
      <c r="I174" s="142">
        <v>2524.0500000000002</v>
      </c>
      <c r="J174" s="141">
        <v>0.14399999999999999</v>
      </c>
      <c r="K174" s="155"/>
      <c r="L174" s="158"/>
      <c r="M174" s="155"/>
      <c r="N174" s="158"/>
    </row>
    <row r="175" spans="1:14" hidden="1">
      <c r="A175" s="71"/>
      <c r="B175" s="73">
        <v>2</v>
      </c>
      <c r="C175" s="140">
        <v>409.3</v>
      </c>
      <c r="D175" s="141">
        <v>8.5000000000000006E-2</v>
      </c>
      <c r="E175" s="142">
        <v>1737.6</v>
      </c>
      <c r="F175" s="141">
        <v>0.151</v>
      </c>
      <c r="G175" s="155">
        <v>951.4</v>
      </c>
      <c r="H175" s="141">
        <v>0.21199999999999999</v>
      </c>
      <c r="I175" s="142">
        <v>3098.31</v>
      </c>
      <c r="J175" s="141">
        <v>0.16</v>
      </c>
      <c r="K175" s="155"/>
      <c r="L175" s="158"/>
      <c r="M175" s="155"/>
      <c r="N175" s="158"/>
    </row>
    <row r="176" spans="1:14" hidden="1">
      <c r="A176" s="77"/>
      <c r="B176" s="73">
        <v>3</v>
      </c>
      <c r="C176" s="140">
        <v>341.3</v>
      </c>
      <c r="D176" s="141">
        <v>-1.6E-2</v>
      </c>
      <c r="E176" s="142">
        <v>1678.4</v>
      </c>
      <c r="F176" s="141">
        <v>0.11700000000000001</v>
      </c>
      <c r="G176" s="155">
        <v>975</v>
      </c>
      <c r="H176" s="141">
        <v>0.2</v>
      </c>
      <c r="I176" s="142">
        <v>2994.69</v>
      </c>
      <c r="J176" s="141">
        <v>0.125</v>
      </c>
      <c r="K176" s="155"/>
      <c r="L176" s="158"/>
      <c r="M176" s="155"/>
      <c r="N176" s="158"/>
    </row>
    <row r="177" spans="1:14" hidden="1">
      <c r="A177" s="77"/>
      <c r="B177" s="73">
        <v>4</v>
      </c>
      <c r="C177" s="140">
        <v>451</v>
      </c>
      <c r="D177" s="141">
        <v>4.2000000000000003E-2</v>
      </c>
      <c r="E177" s="142">
        <v>2169.9</v>
      </c>
      <c r="F177" s="141">
        <v>0.106</v>
      </c>
      <c r="G177" s="155">
        <v>975</v>
      </c>
      <c r="H177" s="141">
        <v>0.19600000000000001</v>
      </c>
      <c r="I177" s="142">
        <v>3595.94</v>
      </c>
      <c r="J177" s="141">
        <v>0.12</v>
      </c>
      <c r="K177" s="155"/>
      <c r="L177" s="158"/>
      <c r="M177" s="155"/>
      <c r="N177" s="158"/>
    </row>
    <row r="178" spans="1:14" hidden="1">
      <c r="A178" s="78"/>
      <c r="B178" s="79"/>
      <c r="C178" s="159"/>
      <c r="D178" s="160"/>
      <c r="E178" s="160"/>
      <c r="F178" s="148"/>
      <c r="G178" s="160"/>
      <c r="H178" s="160"/>
      <c r="I178" s="160"/>
      <c r="J178" s="160"/>
      <c r="K178" s="149"/>
      <c r="L178" s="156"/>
      <c r="M178" s="149"/>
      <c r="N178" s="157"/>
    </row>
    <row r="179" spans="1:14">
      <c r="A179" s="71">
        <v>1977</v>
      </c>
      <c r="B179" s="73">
        <v>1</v>
      </c>
      <c r="C179" s="140">
        <v>314.8</v>
      </c>
      <c r="D179" s="141">
        <v>8.6999999999999994E-2</v>
      </c>
      <c r="E179" s="142">
        <v>1266.5999999999999</v>
      </c>
      <c r="F179" s="141">
        <v>8.2000000000000003E-2</v>
      </c>
      <c r="G179" s="155">
        <v>625.70000000000005</v>
      </c>
      <c r="H179" s="141">
        <v>0.13</v>
      </c>
      <c r="I179" s="142">
        <v>2207.16</v>
      </c>
      <c r="J179" s="141">
        <v>9.6000000000000002E-2</v>
      </c>
      <c r="K179" s="155"/>
      <c r="L179" s="158"/>
      <c r="M179" s="155"/>
      <c r="N179" s="158"/>
    </row>
    <row r="180" spans="1:14" hidden="1">
      <c r="A180" s="71"/>
      <c r="B180" s="73">
        <v>2</v>
      </c>
      <c r="C180" s="140">
        <v>377.2</v>
      </c>
      <c r="D180" s="141">
        <v>0.112</v>
      </c>
      <c r="E180" s="142">
        <v>1509.7</v>
      </c>
      <c r="F180" s="141">
        <v>9.1999999999999998E-2</v>
      </c>
      <c r="G180" s="155">
        <v>784.8</v>
      </c>
      <c r="H180" s="141">
        <v>0.16700000000000001</v>
      </c>
      <c r="I180" s="142">
        <v>2671.6</v>
      </c>
      <c r="J180" s="141">
        <v>0.11600000000000001</v>
      </c>
      <c r="K180" s="155"/>
      <c r="L180" s="158"/>
      <c r="M180" s="155"/>
      <c r="N180" s="158"/>
    </row>
    <row r="181" spans="1:14" hidden="1">
      <c r="A181" s="77"/>
      <c r="B181" s="73">
        <v>3</v>
      </c>
      <c r="C181" s="140">
        <v>347</v>
      </c>
      <c r="D181" s="141">
        <v>0.11600000000000001</v>
      </c>
      <c r="E181" s="142">
        <v>1502.3</v>
      </c>
      <c r="F181" s="141">
        <v>9.8000000000000004E-2</v>
      </c>
      <c r="G181" s="155">
        <v>812.6</v>
      </c>
      <c r="H181" s="141">
        <v>0.17499999999999999</v>
      </c>
      <c r="I181" s="142">
        <v>2661.87</v>
      </c>
      <c r="J181" s="141">
        <v>0.123</v>
      </c>
      <c r="K181" s="155"/>
      <c r="L181" s="158"/>
      <c r="M181" s="155"/>
      <c r="N181" s="158"/>
    </row>
    <row r="182" spans="1:14" hidden="1">
      <c r="A182" s="77"/>
      <c r="B182" s="73">
        <v>4</v>
      </c>
      <c r="C182" s="140">
        <v>433</v>
      </c>
      <c r="D182" s="141">
        <v>7.5999999999999998E-2</v>
      </c>
      <c r="E182" s="142">
        <v>1962.5</v>
      </c>
      <c r="F182" s="141">
        <v>0.123</v>
      </c>
      <c r="G182" s="155">
        <v>814.9</v>
      </c>
      <c r="H182" s="141">
        <v>0.18</v>
      </c>
      <c r="I182" s="142">
        <v>3210.38</v>
      </c>
      <c r="J182" s="141">
        <v>0.13</v>
      </c>
      <c r="K182" s="155"/>
      <c r="L182" s="158"/>
      <c r="M182" s="155"/>
      <c r="N182" s="158"/>
    </row>
    <row r="183" spans="1:14" hidden="1">
      <c r="A183" s="78"/>
      <c r="B183" s="79"/>
      <c r="C183" s="159"/>
      <c r="D183" s="160"/>
      <c r="E183" s="160"/>
      <c r="F183" s="148"/>
      <c r="G183" s="160"/>
      <c r="H183" s="160"/>
      <c r="I183" s="160"/>
      <c r="J183" s="160"/>
      <c r="K183" s="149"/>
      <c r="L183" s="156"/>
      <c r="M183" s="149"/>
      <c r="N183" s="157"/>
    </row>
    <row r="184" spans="1:14">
      <c r="A184" s="71">
        <v>1976</v>
      </c>
      <c r="B184" s="73">
        <v>1</v>
      </c>
      <c r="C184" s="140">
        <v>289.60000000000002</v>
      </c>
      <c r="D184" s="141">
        <v>0.17399999999999999</v>
      </c>
      <c r="E184" s="142">
        <v>1170.0999999999999</v>
      </c>
      <c r="F184" s="141">
        <v>0.128</v>
      </c>
      <c r="G184" s="155">
        <v>553.79999999999995</v>
      </c>
      <c r="H184" s="141">
        <v>0.17599999999999999</v>
      </c>
      <c r="I184" s="142">
        <v>2013.43</v>
      </c>
      <c r="J184" s="141">
        <v>0.14699999999999999</v>
      </c>
      <c r="K184" s="155"/>
      <c r="L184" s="158"/>
      <c r="M184" s="155"/>
      <c r="N184" s="158"/>
    </row>
    <row r="185" spans="1:14" hidden="1">
      <c r="A185" s="71"/>
      <c r="B185" s="73">
        <v>2</v>
      </c>
      <c r="C185" s="140">
        <v>339.1</v>
      </c>
      <c r="D185" s="141">
        <v>0.18099999999999999</v>
      </c>
      <c r="E185" s="142">
        <v>1382.7</v>
      </c>
      <c r="F185" s="141">
        <v>0.13500000000000001</v>
      </c>
      <c r="G185" s="155">
        <v>672.5</v>
      </c>
      <c r="H185" s="141">
        <v>0.22500000000000001</v>
      </c>
      <c r="I185" s="142">
        <v>2394.29</v>
      </c>
      <c r="J185" s="141">
        <v>0.16500000000000001</v>
      </c>
      <c r="K185" s="155"/>
      <c r="L185" s="158"/>
      <c r="M185" s="155"/>
      <c r="N185" s="158"/>
    </row>
    <row r="186" spans="1:14" hidden="1">
      <c r="A186" s="77"/>
      <c r="B186" s="73">
        <v>3</v>
      </c>
      <c r="C186" s="140">
        <v>310.8</v>
      </c>
      <c r="D186" s="141">
        <v>0.27300000000000002</v>
      </c>
      <c r="E186" s="142">
        <v>1367.9</v>
      </c>
      <c r="F186" s="141">
        <v>0.15</v>
      </c>
      <c r="G186" s="155">
        <v>691.3</v>
      </c>
      <c r="H186" s="141">
        <v>0.224</v>
      </c>
      <c r="I186" s="142">
        <v>2369.9499999999998</v>
      </c>
      <c r="J186" s="141">
        <v>0.186</v>
      </c>
      <c r="K186" s="155"/>
      <c r="L186" s="158"/>
      <c r="M186" s="155"/>
      <c r="N186" s="158"/>
    </row>
    <row r="187" spans="1:14" hidden="1">
      <c r="A187" s="77"/>
      <c r="B187" s="73">
        <v>4</v>
      </c>
      <c r="C187" s="140">
        <v>402.6</v>
      </c>
      <c r="D187" s="141">
        <v>0.217</v>
      </c>
      <c r="E187" s="142">
        <v>1747.3</v>
      </c>
      <c r="F187" s="141">
        <v>0.14899999999999999</v>
      </c>
      <c r="G187" s="155">
        <v>690.4</v>
      </c>
      <c r="H187" s="141">
        <v>0.20200000000000001</v>
      </c>
      <c r="I187" s="142">
        <v>2840.33</v>
      </c>
      <c r="J187" s="141">
        <v>0.17100000000000001</v>
      </c>
      <c r="K187" s="155"/>
      <c r="L187" s="158"/>
      <c r="M187" s="155"/>
      <c r="N187" s="158"/>
    </row>
    <row r="188" spans="1:14" hidden="1">
      <c r="A188" s="78"/>
      <c r="B188" s="79"/>
      <c r="C188" s="159"/>
      <c r="D188" s="160"/>
      <c r="E188" s="160"/>
      <c r="F188" s="148"/>
      <c r="G188" s="160"/>
      <c r="H188" s="160"/>
      <c r="I188" s="160"/>
      <c r="J188" s="160"/>
      <c r="K188" s="149"/>
      <c r="L188" s="156"/>
      <c r="M188" s="149"/>
      <c r="N188" s="157"/>
    </row>
    <row r="189" spans="1:14">
      <c r="A189" s="71">
        <v>1975</v>
      </c>
      <c r="B189" s="73">
        <v>1</v>
      </c>
      <c r="C189" s="140">
        <v>246.7</v>
      </c>
      <c r="D189" s="141">
        <v>0.02</v>
      </c>
      <c r="E189" s="142">
        <v>1037.3</v>
      </c>
      <c r="F189" s="141">
        <v>7.1999999999999995E-2</v>
      </c>
      <c r="G189" s="155">
        <v>470.8</v>
      </c>
      <c r="H189" s="141">
        <v>-2.1999999999999999E-2</v>
      </c>
      <c r="I189" s="142">
        <v>1754.7</v>
      </c>
      <c r="J189" s="141">
        <v>3.7999999999999999E-2</v>
      </c>
      <c r="K189" s="155"/>
      <c r="L189" s="158"/>
      <c r="M189" s="155"/>
      <c r="N189" s="158"/>
    </row>
    <row r="190" spans="1:14" hidden="1">
      <c r="A190" s="71"/>
      <c r="B190" s="73">
        <v>2</v>
      </c>
      <c r="C190" s="140">
        <v>287.2</v>
      </c>
      <c r="D190" s="141">
        <v>-1.4E-2</v>
      </c>
      <c r="E190" s="142">
        <v>1218.7</v>
      </c>
      <c r="F190" s="141">
        <v>8.2000000000000003E-2</v>
      </c>
      <c r="G190" s="155">
        <v>549</v>
      </c>
      <c r="H190" s="141">
        <v>-6.2E-2</v>
      </c>
      <c r="I190" s="142">
        <v>2054.9699999999998</v>
      </c>
      <c r="J190" s="141">
        <v>2.5999999999999999E-2</v>
      </c>
      <c r="K190" s="155"/>
      <c r="L190" s="158"/>
      <c r="M190" s="155"/>
      <c r="N190" s="158"/>
    </row>
    <row r="191" spans="1:14" hidden="1">
      <c r="A191" s="77"/>
      <c r="B191" s="73">
        <v>3</v>
      </c>
      <c r="C191" s="140">
        <v>244.2</v>
      </c>
      <c r="D191" s="141">
        <v>-4.2999999999999997E-2</v>
      </c>
      <c r="E191" s="142">
        <v>1189.5</v>
      </c>
      <c r="F191" s="141">
        <v>7.9000000000000001E-2</v>
      </c>
      <c r="G191" s="155">
        <v>564.79999999999995</v>
      </c>
      <c r="H191" s="141">
        <v>-2.9000000000000001E-2</v>
      </c>
      <c r="I191" s="142">
        <v>1998.46</v>
      </c>
      <c r="J191" s="141">
        <v>3.1E-2</v>
      </c>
      <c r="K191" s="155"/>
      <c r="L191" s="158"/>
      <c r="M191" s="155"/>
      <c r="N191" s="158"/>
    </row>
    <row r="192" spans="1:14" hidden="1">
      <c r="A192" s="77"/>
      <c r="B192" s="73">
        <v>4</v>
      </c>
      <c r="C192" s="140">
        <v>330.9</v>
      </c>
      <c r="D192" s="141">
        <v>4.5999999999999999E-2</v>
      </c>
      <c r="E192" s="142">
        <v>1520.5</v>
      </c>
      <c r="F192" s="141">
        <v>0.113</v>
      </c>
      <c r="G192" s="155">
        <v>574.4</v>
      </c>
      <c r="H192" s="141">
        <v>9.2999999999999999E-2</v>
      </c>
      <c r="I192" s="142">
        <v>2425.87</v>
      </c>
      <c r="J192" s="141">
        <v>9.9000000000000005E-2</v>
      </c>
      <c r="K192" s="155"/>
      <c r="L192" s="158"/>
      <c r="M192" s="155"/>
      <c r="N192" s="158"/>
    </row>
    <row r="193" spans="1:14" hidden="1">
      <c r="A193" s="78"/>
      <c r="B193" s="79"/>
      <c r="C193" s="159"/>
      <c r="D193" s="160"/>
      <c r="E193" s="160"/>
      <c r="F193" s="148"/>
      <c r="G193" s="160"/>
      <c r="H193" s="160"/>
      <c r="I193" s="160"/>
      <c r="J193" s="160"/>
      <c r="K193" s="149"/>
      <c r="L193" s="156"/>
      <c r="M193" s="149"/>
      <c r="N193" s="157"/>
    </row>
    <row r="194" spans="1:14">
      <c r="A194" s="71">
        <v>1974</v>
      </c>
      <c r="B194" s="73">
        <v>1</v>
      </c>
      <c r="C194" s="140">
        <v>241.9</v>
      </c>
      <c r="D194" s="141">
        <v>4.5999999999999999E-2</v>
      </c>
      <c r="E194" s="155">
        <v>967.8</v>
      </c>
      <c r="F194" s="141">
        <v>8.8999999999999996E-2</v>
      </c>
      <c r="G194" s="155">
        <v>481.4</v>
      </c>
      <c r="H194" s="141">
        <v>1.2999999999999999E-2</v>
      </c>
      <c r="I194" s="142">
        <v>1691.2</v>
      </c>
      <c r="J194" s="141">
        <v>0.06</v>
      </c>
      <c r="K194" s="155"/>
      <c r="L194" s="158"/>
      <c r="M194" s="155"/>
      <c r="N194" s="158"/>
    </row>
    <row r="195" spans="1:14" hidden="1">
      <c r="A195" s="71"/>
      <c r="B195" s="73">
        <v>2</v>
      </c>
      <c r="C195" s="140">
        <v>291.39999999999998</v>
      </c>
      <c r="D195" s="141">
        <v>3.7999999999999999E-2</v>
      </c>
      <c r="E195" s="142">
        <v>1126.7</v>
      </c>
      <c r="F195" s="141">
        <v>5.8000000000000003E-2</v>
      </c>
      <c r="G195" s="155">
        <v>585.5</v>
      </c>
      <c r="H195" s="141">
        <v>0.02</v>
      </c>
      <c r="I195" s="142">
        <v>2003.69</v>
      </c>
      <c r="J195" s="141">
        <v>4.3999999999999997E-2</v>
      </c>
      <c r="K195" s="155"/>
      <c r="L195" s="158"/>
      <c r="M195" s="155"/>
      <c r="N195" s="158"/>
    </row>
    <row r="196" spans="1:14" hidden="1">
      <c r="A196" s="77"/>
      <c r="B196" s="73">
        <v>3</v>
      </c>
      <c r="C196" s="140">
        <v>255.3</v>
      </c>
      <c r="D196" s="141">
        <v>3.6999999999999998E-2</v>
      </c>
      <c r="E196" s="142">
        <v>1102.3</v>
      </c>
      <c r="F196" s="141">
        <v>5.7000000000000002E-2</v>
      </c>
      <c r="G196" s="155">
        <v>581.5</v>
      </c>
      <c r="H196" s="141">
        <v>-6.0000000000000001E-3</v>
      </c>
      <c r="I196" s="142">
        <v>1939.11</v>
      </c>
      <c r="J196" s="141">
        <v>3.5000000000000003E-2</v>
      </c>
      <c r="K196" s="155"/>
      <c r="L196" s="158"/>
      <c r="M196" s="155"/>
      <c r="N196" s="158"/>
    </row>
    <row r="197" spans="1:14" hidden="1">
      <c r="A197" s="77"/>
      <c r="B197" s="73">
        <v>4</v>
      </c>
      <c r="C197" s="140">
        <v>316.39999999999998</v>
      </c>
      <c r="D197" s="141">
        <v>8.7999999999999995E-2</v>
      </c>
      <c r="E197" s="142">
        <v>1366.2</v>
      </c>
      <c r="F197" s="141">
        <v>9.4E-2</v>
      </c>
      <c r="G197" s="155">
        <v>525.5</v>
      </c>
      <c r="H197" s="141">
        <v>-4.9000000000000002E-2</v>
      </c>
      <c r="I197" s="142">
        <v>2208.0100000000002</v>
      </c>
      <c r="J197" s="141">
        <v>5.5E-2</v>
      </c>
      <c r="K197" s="155"/>
      <c r="L197" s="158"/>
      <c r="M197" s="155"/>
      <c r="N197" s="158"/>
    </row>
    <row r="198" spans="1:14" hidden="1">
      <c r="A198" s="78"/>
      <c r="B198" s="79"/>
      <c r="C198" s="159"/>
      <c r="D198" s="160"/>
      <c r="E198" s="160"/>
      <c r="F198" s="148"/>
      <c r="G198" s="160"/>
      <c r="H198" s="160"/>
      <c r="I198" s="160"/>
      <c r="J198" s="160"/>
      <c r="K198" s="149"/>
      <c r="L198" s="156"/>
      <c r="M198" s="149"/>
      <c r="N198" s="157"/>
    </row>
    <row r="199" spans="1:14">
      <c r="A199" s="71">
        <v>1973</v>
      </c>
      <c r="B199" s="73">
        <v>1</v>
      </c>
      <c r="C199" s="140">
        <v>231.2</v>
      </c>
      <c r="D199" s="141">
        <v>1.7000000000000001E-2</v>
      </c>
      <c r="E199" s="155">
        <v>888.4</v>
      </c>
      <c r="F199" s="141">
        <v>5.3999999999999999E-2</v>
      </c>
      <c r="G199" s="155">
        <v>475.4</v>
      </c>
      <c r="H199" s="141">
        <v>0.17199999999999999</v>
      </c>
      <c r="I199" s="142">
        <v>1595.01</v>
      </c>
      <c r="J199" s="141">
        <v>8.1000000000000003E-2</v>
      </c>
      <c r="K199" s="155"/>
      <c r="L199" s="158"/>
      <c r="M199" s="155"/>
      <c r="N199" s="158"/>
    </row>
    <row r="200" spans="1:14" hidden="1">
      <c r="A200" s="71"/>
      <c r="B200" s="73">
        <v>2</v>
      </c>
      <c r="C200" s="140">
        <v>280.7</v>
      </c>
      <c r="D200" s="141">
        <v>7.0000000000000001E-3</v>
      </c>
      <c r="E200" s="142">
        <v>1065.0999999999999</v>
      </c>
      <c r="F200" s="141">
        <v>9.5000000000000001E-2</v>
      </c>
      <c r="G200" s="155">
        <v>574</v>
      </c>
      <c r="H200" s="141">
        <v>0.16700000000000001</v>
      </c>
      <c r="I200" s="142">
        <v>1919.89</v>
      </c>
      <c r="J200" s="141">
        <v>0.10100000000000001</v>
      </c>
      <c r="K200" s="155"/>
      <c r="L200" s="158"/>
      <c r="M200" s="155"/>
      <c r="N200" s="158"/>
    </row>
    <row r="201" spans="1:14" hidden="1">
      <c r="A201" s="77"/>
      <c r="B201" s="73">
        <v>3</v>
      </c>
      <c r="C201" s="140">
        <v>246.2</v>
      </c>
      <c r="D201" s="141">
        <v>1.7999999999999999E-2</v>
      </c>
      <c r="E201" s="142">
        <v>1042.7</v>
      </c>
      <c r="F201" s="141">
        <v>9.9000000000000005E-2</v>
      </c>
      <c r="G201" s="155">
        <v>585.1</v>
      </c>
      <c r="H201" s="141">
        <v>0.128</v>
      </c>
      <c r="I201" s="142">
        <v>1874.02</v>
      </c>
      <c r="J201" s="141">
        <v>9.6000000000000002E-2</v>
      </c>
      <c r="K201" s="155"/>
      <c r="L201" s="158"/>
      <c r="M201" s="155"/>
      <c r="N201" s="158"/>
    </row>
    <row r="202" spans="1:14" hidden="1">
      <c r="A202" s="77"/>
      <c r="B202" s="73">
        <v>4</v>
      </c>
      <c r="C202" s="140">
        <v>290.8</v>
      </c>
      <c r="D202" s="141">
        <v>-7.3999999999999996E-2</v>
      </c>
      <c r="E202" s="142">
        <v>1248.7</v>
      </c>
      <c r="F202" s="141">
        <v>4.1000000000000002E-2</v>
      </c>
      <c r="G202" s="155">
        <v>552.5</v>
      </c>
      <c r="H202" s="141">
        <v>0.112</v>
      </c>
      <c r="I202" s="142">
        <v>2092.08</v>
      </c>
      <c r="J202" s="141">
        <v>4.1000000000000002E-2</v>
      </c>
      <c r="K202" s="155"/>
      <c r="L202" s="158"/>
      <c r="M202" s="155"/>
      <c r="N202" s="158"/>
    </row>
    <row r="203" spans="1:14" hidden="1">
      <c r="A203" s="78"/>
      <c r="B203" s="79"/>
      <c r="C203" s="159"/>
      <c r="D203" s="160"/>
      <c r="E203" s="160"/>
      <c r="F203" s="148"/>
      <c r="G203" s="160"/>
      <c r="H203" s="160"/>
      <c r="I203" s="160"/>
      <c r="J203" s="160"/>
      <c r="K203" s="149"/>
      <c r="L203" s="156"/>
      <c r="M203" s="149"/>
      <c r="N203" s="157"/>
    </row>
    <row r="204" spans="1:14">
      <c r="A204" s="71">
        <v>1972</v>
      </c>
      <c r="B204" s="73">
        <v>1</v>
      </c>
      <c r="C204" s="140">
        <v>227.3</v>
      </c>
      <c r="D204" s="141">
        <v>0.11899999999999999</v>
      </c>
      <c r="E204" s="155">
        <v>843.2</v>
      </c>
      <c r="F204" s="141">
        <v>0.122</v>
      </c>
      <c r="G204" s="155">
        <v>405.7</v>
      </c>
      <c r="H204" s="141">
        <v>0.154</v>
      </c>
      <c r="I204" s="142">
        <v>1476.09</v>
      </c>
      <c r="J204" s="141">
        <v>0.13</v>
      </c>
      <c r="K204" s="155"/>
      <c r="L204" s="158"/>
      <c r="M204" s="155"/>
      <c r="N204" s="158"/>
    </row>
    <row r="205" spans="1:14" hidden="1">
      <c r="A205" s="71"/>
      <c r="B205" s="73">
        <v>2</v>
      </c>
      <c r="C205" s="140">
        <v>278.7</v>
      </c>
      <c r="D205" s="141">
        <v>4.1000000000000002E-2</v>
      </c>
      <c r="E205" s="155">
        <v>972.71</v>
      </c>
      <c r="F205" s="141">
        <v>1.4E-2</v>
      </c>
      <c r="G205" s="155">
        <v>491.8</v>
      </c>
      <c r="H205" s="141">
        <v>0.16600000000000001</v>
      </c>
      <c r="I205" s="142">
        <v>1743.18</v>
      </c>
      <c r="J205" s="141">
        <v>0.11600000000000001</v>
      </c>
      <c r="K205" s="155"/>
      <c r="L205" s="158"/>
      <c r="M205" s="155"/>
      <c r="N205" s="158"/>
    </row>
    <row r="206" spans="1:14" hidden="1">
      <c r="A206" s="77"/>
      <c r="B206" s="73">
        <v>3</v>
      </c>
      <c r="C206" s="140">
        <v>241.9</v>
      </c>
      <c r="D206" s="141">
        <v>7.3999999999999996E-2</v>
      </c>
      <c r="E206" s="155">
        <v>948.71</v>
      </c>
      <c r="F206" s="141">
        <v>6.0000000000000001E-3</v>
      </c>
      <c r="G206" s="155">
        <v>518.9</v>
      </c>
      <c r="H206" s="141">
        <v>0.182</v>
      </c>
      <c r="I206" s="142">
        <v>1709.45</v>
      </c>
      <c r="J206" s="141">
        <v>0.123</v>
      </c>
      <c r="K206" s="155"/>
      <c r="L206" s="158"/>
      <c r="M206" s="155"/>
      <c r="N206" s="158"/>
    </row>
    <row r="207" spans="1:14" hidden="1">
      <c r="A207" s="77"/>
      <c r="B207" s="73">
        <v>4</v>
      </c>
      <c r="C207" s="140">
        <v>314.2</v>
      </c>
      <c r="D207" s="141">
        <v>0.13800000000000001</v>
      </c>
      <c r="E207" s="142">
        <v>1199.5</v>
      </c>
      <c r="F207" s="141">
        <v>0.108</v>
      </c>
      <c r="G207" s="155">
        <v>496.7</v>
      </c>
      <c r="H207" s="141">
        <v>0.189</v>
      </c>
      <c r="I207" s="142">
        <v>2010.28</v>
      </c>
      <c r="J207" s="141">
        <v>0.13200000000000001</v>
      </c>
      <c r="K207" s="155"/>
      <c r="L207" s="158"/>
      <c r="M207" s="155"/>
      <c r="N207" s="158"/>
    </row>
    <row r="208" spans="1:14" hidden="1">
      <c r="A208" s="78"/>
      <c r="B208" s="79"/>
      <c r="C208" s="159"/>
      <c r="D208" s="160"/>
      <c r="E208" s="160"/>
      <c r="F208" s="148"/>
      <c r="G208" s="160"/>
      <c r="H208" s="160"/>
      <c r="I208" s="160"/>
      <c r="J208" s="160"/>
      <c r="K208" s="149"/>
      <c r="L208" s="156"/>
      <c r="M208" s="149"/>
      <c r="N208" s="157"/>
    </row>
    <row r="209" spans="1:14">
      <c r="A209" s="71">
        <v>1971</v>
      </c>
      <c r="B209" s="73">
        <v>1</v>
      </c>
      <c r="C209" s="140">
        <v>203.2</v>
      </c>
      <c r="D209" s="141">
        <v>1.7999999999999999E-2</v>
      </c>
      <c r="E209" s="155">
        <v>751.3</v>
      </c>
      <c r="F209" s="141">
        <v>5.1999999999999998E-2</v>
      </c>
      <c r="G209" s="155">
        <v>351.5</v>
      </c>
      <c r="H209" s="141">
        <v>-4.2999999999999997E-2</v>
      </c>
      <c r="I209" s="142">
        <v>1305.8900000000001</v>
      </c>
      <c r="J209" s="141">
        <v>1.9E-2</v>
      </c>
      <c r="K209" s="155"/>
      <c r="L209" s="158"/>
      <c r="M209" s="155"/>
      <c r="N209" s="158"/>
    </row>
    <row r="210" spans="1:14" hidden="1">
      <c r="A210" s="71"/>
      <c r="B210" s="73">
        <v>2</v>
      </c>
      <c r="C210" s="140">
        <v>267.60000000000002</v>
      </c>
      <c r="D210" s="141">
        <v>9.4E-2</v>
      </c>
      <c r="E210" s="155">
        <v>873.2</v>
      </c>
      <c r="F210" s="141">
        <v>5.6000000000000001E-2</v>
      </c>
      <c r="G210" s="155">
        <v>421.7</v>
      </c>
      <c r="H210" s="141">
        <v>3.2000000000000001E-2</v>
      </c>
      <c r="I210" s="142">
        <v>1562.48</v>
      </c>
      <c r="J210" s="141">
        <v>5.6000000000000001E-2</v>
      </c>
      <c r="K210" s="155"/>
      <c r="L210" s="158"/>
      <c r="M210" s="155"/>
      <c r="N210" s="158"/>
    </row>
    <row r="211" spans="1:14" hidden="1">
      <c r="A211" s="77"/>
      <c r="B211" s="73">
        <v>3</v>
      </c>
      <c r="C211" s="140">
        <v>225.2</v>
      </c>
      <c r="D211" s="141">
        <v>0.14199999999999999</v>
      </c>
      <c r="E211" s="155">
        <v>858</v>
      </c>
      <c r="F211" s="141">
        <v>8.3000000000000004E-2</v>
      </c>
      <c r="G211" s="155">
        <v>439.1</v>
      </c>
      <c r="H211" s="141">
        <v>0.115</v>
      </c>
      <c r="I211" s="142">
        <v>1522.35</v>
      </c>
      <c r="J211" s="141">
        <v>0.1</v>
      </c>
      <c r="K211" s="155"/>
      <c r="L211" s="158"/>
      <c r="M211" s="155"/>
      <c r="N211" s="158"/>
    </row>
    <row r="212" spans="1:14" hidden="1">
      <c r="A212" s="77"/>
      <c r="B212" s="73">
        <v>4</v>
      </c>
      <c r="C212" s="140">
        <v>276</v>
      </c>
      <c r="D212" s="141">
        <v>0.105</v>
      </c>
      <c r="E212" s="142">
        <v>1082.5999999999999</v>
      </c>
      <c r="F212" s="141">
        <v>0.13</v>
      </c>
      <c r="G212" s="155">
        <v>417.7</v>
      </c>
      <c r="H212" s="141">
        <v>0.19</v>
      </c>
      <c r="I212" s="142">
        <v>1776.28</v>
      </c>
      <c r="J212" s="141">
        <v>0.13900000000000001</v>
      </c>
      <c r="K212" s="155"/>
      <c r="L212" s="155"/>
      <c r="M212" s="155"/>
      <c r="N212" s="161"/>
    </row>
    <row r="213" spans="1:14">
      <c r="A213" s="80"/>
      <c r="B213" s="81"/>
      <c r="C213" s="162"/>
      <c r="D213" s="163"/>
      <c r="E213" s="164"/>
      <c r="F213" s="163"/>
      <c r="G213" s="165"/>
      <c r="H213" s="163"/>
      <c r="I213" s="164"/>
      <c r="J213" s="163"/>
      <c r="K213" s="165"/>
      <c r="L213" s="165"/>
      <c r="M213" s="165"/>
      <c r="N213" s="166"/>
    </row>
    <row r="214" spans="1:14">
      <c r="A214" s="82" t="s">
        <v>42</v>
      </c>
      <c r="B214" s="81"/>
      <c r="C214" s="196"/>
      <c r="D214" s="197"/>
      <c r="E214" s="198">
        <f>SUBTOTAL(101,E4:E212)</f>
        <v>2930.1838242574727</v>
      </c>
      <c r="F214" s="200"/>
      <c r="G214" s="199"/>
      <c r="H214" s="200"/>
      <c r="I214" s="199"/>
      <c r="J214" s="200"/>
      <c r="K214" s="199"/>
      <c r="L214" s="200"/>
      <c r="M214" s="199"/>
      <c r="N214" s="167"/>
    </row>
    <row r="215" spans="1:14">
      <c r="A215" s="82" t="s">
        <v>446</v>
      </c>
      <c r="B215" s="81"/>
      <c r="C215" s="198">
        <f>SUBTOTAL(104,C4:C212)</f>
        <v>1835.61</v>
      </c>
      <c r="D215" s="197"/>
      <c r="E215" s="196"/>
      <c r="F215" s="200"/>
      <c r="G215" s="199"/>
      <c r="H215" s="200"/>
      <c r="I215" s="199"/>
      <c r="J215" s="200"/>
      <c r="K215" s="199"/>
      <c r="L215" s="200"/>
      <c r="M215" s="199"/>
      <c r="N215" s="167"/>
    </row>
    <row r="216" spans="1:14">
      <c r="A216" s="82" t="s">
        <v>447</v>
      </c>
      <c r="B216" s="81"/>
      <c r="C216" s="198">
        <f>SUBTOTAL(105,C4:C212)</f>
        <v>203.2</v>
      </c>
      <c r="D216" s="197"/>
      <c r="E216" s="196"/>
      <c r="F216" s="200"/>
      <c r="G216" s="199"/>
      <c r="H216" s="200"/>
      <c r="I216" s="199"/>
      <c r="J216" s="200"/>
      <c r="K216" s="199"/>
      <c r="L216" s="200"/>
      <c r="M216" s="199"/>
      <c r="N216" s="167"/>
    </row>
    <row r="217" spans="1:14">
      <c r="A217" s="82" t="s">
        <v>43</v>
      </c>
      <c r="B217" s="81"/>
      <c r="C217" s="196"/>
      <c r="D217" s="197"/>
      <c r="E217" s="196"/>
      <c r="F217" s="200"/>
      <c r="G217" s="199"/>
      <c r="H217" s="200"/>
      <c r="I217" s="199"/>
      <c r="J217" s="200"/>
      <c r="K217" s="199"/>
      <c r="L217" s="200"/>
      <c r="M217" s="199"/>
      <c r="N217" s="167"/>
    </row>
    <row r="219" spans="1:14" ht="13.2">
      <c r="A219" s="83" t="s">
        <v>47</v>
      </c>
    </row>
    <row r="220" spans="1:14" ht="14.4">
      <c r="A220" s="84" t="s">
        <v>448</v>
      </c>
    </row>
  </sheetData>
  <autoFilter ref="B3:B212" xr:uid="{D79BC139-CDDC-4C72-A084-2062604C8E5E}">
    <filterColumn colId="0">
      <filters>
        <filter val="1"/>
      </filters>
    </filterColumn>
  </autoFilter>
  <mergeCells count="6">
    <mergeCell ref="M2:N2"/>
    <mergeCell ref="C2:D2"/>
    <mergeCell ref="E2:F2"/>
    <mergeCell ref="G2:H2"/>
    <mergeCell ref="I2:J2"/>
    <mergeCell ref="K2:L2"/>
  </mergeCells>
  <hyperlinks>
    <hyperlink ref="A220" r:id="rId1" xr:uid="{F64D6E4F-FF08-45E8-AB7B-FC6CAE5045D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A4335-0185-4076-A52D-073B2F3E611E}">
  <sheetPr codeName="Sheet10"/>
  <dimension ref="A1:I74"/>
  <sheetViews>
    <sheetView tabSelected="1" topLeftCell="A38" zoomScale="90" workbookViewId="0">
      <selection activeCell="B66" sqref="B66:D66"/>
    </sheetView>
  </sheetViews>
  <sheetFormatPr defaultColWidth="9.109375" defaultRowHeight="13.2"/>
  <cols>
    <col min="1" max="1" width="12.5546875" style="92" customWidth="1"/>
    <col min="2" max="4" width="13.88671875" style="92" customWidth="1"/>
    <col min="5" max="5" width="11.6640625" style="92" bestFit="1" customWidth="1"/>
    <col min="6" max="6" width="13.44140625" style="92" bestFit="1" customWidth="1"/>
    <col min="7" max="7" width="17.6640625" style="92" customWidth="1"/>
    <col min="8" max="8" width="14.44140625" style="92" bestFit="1" customWidth="1"/>
    <col min="9" max="10" width="9.109375" style="92"/>
    <col min="11" max="11" width="10.6640625" style="92" bestFit="1" customWidth="1"/>
    <col min="12" max="16384" width="9.109375" style="92"/>
  </cols>
  <sheetData>
    <row r="1" spans="1:7" ht="17.399999999999999">
      <c r="A1" s="91" t="s">
        <v>455</v>
      </c>
      <c r="G1" s="93"/>
    </row>
    <row r="2" spans="1:7" ht="14.4">
      <c r="A2" s="94" t="s">
        <v>456</v>
      </c>
      <c r="C2" s="95"/>
      <c r="G2" s="95"/>
    </row>
    <row r="4" spans="1:7" ht="27.6">
      <c r="A4" s="96" t="s">
        <v>232</v>
      </c>
      <c r="B4" s="96" t="s">
        <v>457</v>
      </c>
      <c r="C4" s="96" t="s">
        <v>458</v>
      </c>
      <c r="D4" s="96" t="s">
        <v>450</v>
      </c>
      <c r="E4" s="97" t="s">
        <v>459</v>
      </c>
      <c r="G4" s="98"/>
    </row>
    <row r="5" spans="1:7" ht="14.4">
      <c r="A5" s="99">
        <v>2012</v>
      </c>
      <c r="B5" s="100">
        <v>6636160</v>
      </c>
      <c r="C5" s="100">
        <v>3812401</v>
      </c>
      <c r="D5" s="101">
        <v>10448561.492792901</v>
      </c>
      <c r="E5" s="176">
        <f>(D5-D6)/D6</f>
        <v>4.6000000000000131E-2</v>
      </c>
    </row>
    <row r="6" spans="1:7" ht="14.4">
      <c r="A6" s="99">
        <v>2011</v>
      </c>
      <c r="B6" s="100">
        <v>6344321.2507635076</v>
      </c>
      <c r="C6" s="100">
        <v>3644743.2738950956</v>
      </c>
      <c r="D6" s="101">
        <v>9989064.5246586036</v>
      </c>
      <c r="E6" s="176">
        <f t="shared" ref="E6:E60" si="0">(D6-D7)/D7</f>
        <v>-5.9999999999999689E-3</v>
      </c>
    </row>
    <row r="7" spans="1:7" ht="14.4">
      <c r="A7" s="99">
        <v>2010</v>
      </c>
      <c r="B7" s="100">
        <v>6382616.9524783781</v>
      </c>
      <c r="C7" s="100">
        <v>3666743.7363129733</v>
      </c>
      <c r="D7" s="101">
        <v>10049360.688791351</v>
      </c>
      <c r="E7" s="176">
        <f t="shared" si="0"/>
        <v>-1.7306757398136998E-3</v>
      </c>
    </row>
    <row r="8" spans="1:7" ht="14.4">
      <c r="A8" s="99">
        <v>2009</v>
      </c>
      <c r="B8" s="100">
        <v>6389005.9584368151</v>
      </c>
      <c r="C8" s="100">
        <v>3677777.0675155199</v>
      </c>
      <c r="D8" s="101">
        <v>10066783.025952335</v>
      </c>
      <c r="E8" s="176">
        <f t="shared" si="0"/>
        <v>-1.9999999999998764E-3</v>
      </c>
    </row>
    <row r="9" spans="1:7" ht="14.4">
      <c r="A9" s="99">
        <v>2008</v>
      </c>
      <c r="B9" s="100">
        <v>6401809.5775919994</v>
      </c>
      <c r="C9" s="100">
        <v>3685147.3622399997</v>
      </c>
      <c r="D9" s="101">
        <v>10086956.939831998</v>
      </c>
      <c r="E9" s="176">
        <f t="shared" si="0"/>
        <v>-2.0200560492820437E-2</v>
      </c>
    </row>
    <row r="10" spans="1:7" ht="14.4">
      <c r="A10" s="99">
        <v>2007</v>
      </c>
      <c r="B10" s="100">
        <v>6519154.3559999997</v>
      </c>
      <c r="C10" s="100">
        <v>3775765.74</v>
      </c>
      <c r="D10" s="101">
        <v>10294920.095999999</v>
      </c>
      <c r="E10" s="176">
        <f t="shared" si="0"/>
        <v>-2.4024994255022497E-2</v>
      </c>
    </row>
    <row r="11" spans="1:7" ht="14.4">
      <c r="A11" s="99">
        <v>2006</v>
      </c>
      <c r="B11" s="100">
        <v>6665802</v>
      </c>
      <c r="C11" s="100">
        <v>3892542</v>
      </c>
      <c r="D11" s="101">
        <v>10548344</v>
      </c>
      <c r="E11" s="176">
        <f t="shared" si="0"/>
        <v>-1.847574477516821E-2</v>
      </c>
    </row>
    <row r="12" spans="1:7" ht="14.4">
      <c r="A12" s="102">
        <v>2005</v>
      </c>
      <c r="B12" s="103">
        <v>6729830</v>
      </c>
      <c r="C12" s="100">
        <v>4017071</v>
      </c>
      <c r="D12" s="101">
        <v>10746901</v>
      </c>
      <c r="E12" s="176">
        <f t="shared" si="0"/>
        <v>-2.1999970697040065E-2</v>
      </c>
    </row>
    <row r="13" spans="1:7" ht="14.4">
      <c r="A13" s="99">
        <v>2004</v>
      </c>
      <c r="B13" s="100">
        <v>6832315</v>
      </c>
      <c r="C13" s="100">
        <v>4156336</v>
      </c>
      <c r="D13" s="101">
        <v>10988651</v>
      </c>
      <c r="E13" s="176">
        <f t="shared" si="0"/>
        <v>-2.0999946366662088E-2</v>
      </c>
    </row>
    <row r="14" spans="1:7" ht="14.4">
      <c r="A14" s="99">
        <v>2003</v>
      </c>
      <c r="B14" s="100">
        <v>6974530</v>
      </c>
      <c r="C14" s="100">
        <v>4249832</v>
      </c>
      <c r="D14" s="101">
        <v>11224362</v>
      </c>
      <c r="E14" s="176">
        <f t="shared" si="0"/>
        <v>1.7999988390966139E-2</v>
      </c>
    </row>
    <row r="15" spans="1:7" ht="14.4">
      <c r="A15" s="99">
        <v>2002</v>
      </c>
      <c r="B15" s="100">
        <v>6830230</v>
      </c>
      <c r="C15" s="100">
        <v>4195666</v>
      </c>
      <c r="D15" s="101">
        <v>11025896</v>
      </c>
      <c r="E15" s="176">
        <f t="shared" si="0"/>
        <v>2.2518431193764898E-2</v>
      </c>
    </row>
    <row r="16" spans="1:7" ht="14.4">
      <c r="A16" s="102">
        <v>2001</v>
      </c>
      <c r="B16" s="103">
        <v>6689745</v>
      </c>
      <c r="C16" s="103">
        <v>4093333</v>
      </c>
      <c r="D16" s="104">
        <v>10783078</v>
      </c>
      <c r="E16" s="176">
        <f t="shared" si="0"/>
        <v>2.3000020017754134E-2</v>
      </c>
    </row>
    <row r="17" spans="1:8" ht="14.4">
      <c r="A17" s="99">
        <v>2000</v>
      </c>
      <c r="B17" s="100">
        <v>6507803</v>
      </c>
      <c r="C17" s="100">
        <v>4032840</v>
      </c>
      <c r="D17" s="101">
        <v>10540643</v>
      </c>
      <c r="E17" s="176">
        <f t="shared" si="0"/>
        <v>6.526650225824447E-3</v>
      </c>
    </row>
    <row r="18" spans="1:8" ht="14.4">
      <c r="A18" s="102">
        <v>1999</v>
      </c>
      <c r="B18" s="103">
        <v>6475426</v>
      </c>
      <c r="C18" s="103">
        <v>3996868</v>
      </c>
      <c r="D18" s="103">
        <v>10472294</v>
      </c>
      <c r="E18" s="176">
        <f t="shared" si="0"/>
        <v>1.9999990260013801E-2</v>
      </c>
    </row>
    <row r="19" spans="1:8" ht="14.4">
      <c r="A19" s="99">
        <v>1998</v>
      </c>
      <c r="B19" s="100">
        <v>6352295</v>
      </c>
      <c r="C19" s="100">
        <v>3914660</v>
      </c>
      <c r="D19" s="100">
        <v>10266955</v>
      </c>
      <c r="E19" s="176">
        <f t="shared" si="0"/>
        <v>2.0000015895657725E-2</v>
      </c>
      <c r="H19" s="105"/>
    </row>
    <row r="20" spans="1:8" ht="14.4">
      <c r="A20" s="102">
        <v>1997</v>
      </c>
      <c r="B20" s="103">
        <v>6227741</v>
      </c>
      <c r="C20" s="103">
        <v>3837902</v>
      </c>
      <c r="D20" s="103">
        <v>10065642</v>
      </c>
      <c r="E20" s="176">
        <f t="shared" si="0"/>
        <v>9.6699447500511581E-3</v>
      </c>
    </row>
    <row r="21" spans="1:8" ht="14.4">
      <c r="A21" s="99">
        <v>1996</v>
      </c>
      <c r="B21" s="100">
        <v>6157735</v>
      </c>
      <c r="C21" s="100">
        <v>3811504</v>
      </c>
      <c r="D21" s="100">
        <v>9969240</v>
      </c>
      <c r="E21" s="176">
        <f t="shared" si="0"/>
        <v>2.5622349201959715E-2</v>
      </c>
    </row>
    <row r="22" spans="1:8" ht="14.4">
      <c r="A22" s="102">
        <v>1995</v>
      </c>
      <c r="B22" s="103">
        <v>6007134</v>
      </c>
      <c r="C22" s="103">
        <v>3713052</v>
      </c>
      <c r="D22" s="103">
        <v>9720186</v>
      </c>
      <c r="E22" s="176">
        <f t="shared" si="0"/>
        <v>2.9329941268955273E-2</v>
      </c>
    </row>
    <row r="23" spans="1:8" ht="14.4">
      <c r="A23" s="99">
        <v>1994</v>
      </c>
      <c r="B23" s="100">
        <v>5846897</v>
      </c>
      <c r="C23" s="100">
        <v>3596320</v>
      </c>
      <c r="D23" s="100">
        <v>9443217</v>
      </c>
      <c r="E23" s="176">
        <f t="shared" si="0"/>
        <v>2.7128602508516064E-2</v>
      </c>
    </row>
    <row r="24" spans="1:8" ht="14.4">
      <c r="A24" s="102">
        <v>1993</v>
      </c>
      <c r="B24" s="103">
        <v>5704671</v>
      </c>
      <c r="C24" s="103">
        <v>3489132</v>
      </c>
      <c r="D24" s="103">
        <v>9193802</v>
      </c>
      <c r="E24" s="176">
        <f t="shared" si="0"/>
        <v>3.3030924531954591E-3</v>
      </c>
      <c r="G24" s="175" t="s">
        <v>484</v>
      </c>
    </row>
    <row r="25" spans="1:8" ht="14.4">
      <c r="A25" s="99">
        <v>1992</v>
      </c>
      <c r="B25" s="100">
        <v>5745052</v>
      </c>
      <c r="C25" s="100">
        <v>3418482</v>
      </c>
      <c r="D25" s="100">
        <v>9163534</v>
      </c>
      <c r="E25" s="176">
        <f t="shared" si="0"/>
        <v>5.3560840771428794E-2</v>
      </c>
      <c r="G25" s="175" t="s">
        <v>486</v>
      </c>
    </row>
    <row r="26" spans="1:8" ht="14.4">
      <c r="A26" s="102">
        <v>1991</v>
      </c>
      <c r="B26" s="106">
        <v>5455070</v>
      </c>
      <c r="C26" s="106">
        <v>3242609</v>
      </c>
      <c r="D26" s="106">
        <v>8697679</v>
      </c>
      <c r="E26" s="176">
        <f t="shared" si="0"/>
        <v>1.9179455264918807E-2</v>
      </c>
      <c r="G26" s="175" t="s">
        <v>485</v>
      </c>
    </row>
    <row r="27" spans="1:8" ht="14.4">
      <c r="A27" s="107">
        <v>1990</v>
      </c>
      <c r="B27" s="201">
        <f>B28+(B26-B28)*(($A27-$A28)/($A26-$A28))</f>
        <v>5230074</v>
      </c>
      <c r="C27" s="201">
        <f t="shared" ref="C27:D27" si="1">C28+(C26-C28)*(($A27-$A28)/($A26-$A28))</f>
        <v>3303927.5</v>
      </c>
      <c r="D27" s="201">
        <f t="shared" si="1"/>
        <v>8534001.5</v>
      </c>
      <c r="E27" s="176">
        <f t="shared" si="0"/>
        <v>1.9554499921388944E-2</v>
      </c>
      <c r="G27" s="92" t="s">
        <v>460</v>
      </c>
    </row>
    <row r="28" spans="1:8" ht="14.4">
      <c r="A28" s="102">
        <v>1989</v>
      </c>
      <c r="B28" s="108">
        <v>5005078</v>
      </c>
      <c r="C28" s="108">
        <v>3365246</v>
      </c>
      <c r="D28" s="108">
        <v>8370324</v>
      </c>
      <c r="E28" s="176">
        <f t="shared" si="0"/>
        <v>4.0271618449602906E-2</v>
      </c>
    </row>
    <row r="29" spans="1:8" ht="14.4">
      <c r="A29" s="99">
        <v>1988</v>
      </c>
      <c r="B29" s="100">
        <v>4869613</v>
      </c>
      <c r="C29" s="100">
        <v>3176674</v>
      </c>
      <c r="D29" s="100">
        <v>8046287</v>
      </c>
      <c r="E29" s="176">
        <f t="shared" si="0"/>
        <v>-4.1998292184146933E-2</v>
      </c>
    </row>
    <row r="30" spans="1:8" ht="14.4">
      <c r="A30" s="102">
        <v>1987</v>
      </c>
      <c r="B30" s="103">
        <v>5561670</v>
      </c>
      <c r="C30" s="103">
        <v>2837362</v>
      </c>
      <c r="D30" s="103">
        <v>8399032</v>
      </c>
      <c r="E30" s="176">
        <f t="shared" si="0"/>
        <v>4.3079685072852612E-2</v>
      </c>
    </row>
    <row r="31" spans="1:8" ht="14.4">
      <c r="A31" s="99">
        <v>1986</v>
      </c>
      <c r="B31" s="100">
        <v>5410949</v>
      </c>
      <c r="C31" s="100">
        <v>2641199</v>
      </c>
      <c r="D31" s="100">
        <v>8052148</v>
      </c>
      <c r="E31" s="176">
        <f t="shared" si="0"/>
        <v>5.1290738562559987E-2</v>
      </c>
    </row>
    <row r="32" spans="1:8" ht="14.4">
      <c r="A32" s="102">
        <v>1985</v>
      </c>
      <c r="B32" s="103">
        <v>5233661</v>
      </c>
      <c r="C32" s="103">
        <v>2425636</v>
      </c>
      <c r="D32" s="103">
        <v>7659297</v>
      </c>
      <c r="E32" s="176">
        <f t="shared" si="0"/>
        <v>3.9513132047385519E-2</v>
      </c>
    </row>
    <row r="33" spans="1:5" ht="14.4">
      <c r="A33" s="99">
        <v>1984</v>
      </c>
      <c r="B33" s="100">
        <v>5093394</v>
      </c>
      <c r="C33" s="100">
        <v>2274764</v>
      </c>
      <c r="D33" s="100">
        <v>7368158</v>
      </c>
      <c r="E33" s="176">
        <f t="shared" si="0"/>
        <v>4.600447069305396E-2</v>
      </c>
    </row>
    <row r="34" spans="1:5" ht="14.4">
      <c r="A34" s="102">
        <v>1983</v>
      </c>
      <c r="B34" s="103">
        <v>4895936</v>
      </c>
      <c r="C34" s="103">
        <v>2148162</v>
      </c>
      <c r="D34" s="103">
        <v>7044098</v>
      </c>
      <c r="E34" s="176">
        <f t="shared" si="0"/>
        <v>5.820290382821057E-2</v>
      </c>
    </row>
    <row r="35" spans="1:5" ht="14.4">
      <c r="A35" s="99">
        <v>1982</v>
      </c>
      <c r="B35" s="100">
        <v>4689837</v>
      </c>
      <c r="C35" s="100">
        <v>1966824</v>
      </c>
      <c r="D35" s="100">
        <v>6656661</v>
      </c>
      <c r="E35" s="176">
        <f t="shared" si="0"/>
        <v>7.2592614315401469E-2</v>
      </c>
    </row>
    <row r="36" spans="1:5" ht="14.4">
      <c r="A36" s="102">
        <v>1981</v>
      </c>
      <c r="B36" s="103">
        <v>4359244</v>
      </c>
      <c r="C36" s="103">
        <v>1846897</v>
      </c>
      <c r="D36" s="103">
        <v>6206141</v>
      </c>
      <c r="E36" s="176">
        <f t="shared" si="0"/>
        <v>0.13466313465234775</v>
      </c>
    </row>
    <row r="37" spans="1:5" ht="14.4">
      <c r="A37" s="99">
        <v>1980</v>
      </c>
      <c r="B37" s="100">
        <v>3863822</v>
      </c>
      <c r="C37" s="100">
        <v>1605767</v>
      </c>
      <c r="D37" s="100">
        <v>5469589</v>
      </c>
      <c r="E37" s="176">
        <f t="shared" si="0"/>
        <v>0.10484649963579745</v>
      </c>
    </row>
    <row r="38" spans="1:5" ht="14.4">
      <c r="A38" s="102">
        <v>1979</v>
      </c>
      <c r="B38" s="103">
        <v>3519008</v>
      </c>
      <c r="C38" s="103">
        <v>1431534</v>
      </c>
      <c r="D38" s="103">
        <v>4950542</v>
      </c>
      <c r="E38" s="176">
        <f t="shared" si="0"/>
        <v>9.1683188971281734E-2</v>
      </c>
    </row>
    <row r="39" spans="1:5" ht="14.4">
      <c r="A39" s="99">
        <v>1978</v>
      </c>
      <c r="B39" s="100">
        <v>3289526</v>
      </c>
      <c r="C39" s="100">
        <v>1245253</v>
      </c>
      <c r="D39" s="100">
        <v>4534779</v>
      </c>
      <c r="E39" s="176">
        <f t="shared" si="0"/>
        <v>5.2095291301914794E-2</v>
      </c>
    </row>
    <row r="40" spans="1:5" ht="14.4">
      <c r="A40" s="102">
        <v>1977</v>
      </c>
      <c r="B40" s="103">
        <v>3129901</v>
      </c>
      <c r="C40" s="103">
        <v>1180335</v>
      </c>
      <c r="D40" s="103">
        <v>4310236</v>
      </c>
      <c r="E40" s="176">
        <f t="shared" si="0"/>
        <v>5.4542812216270727E-2</v>
      </c>
    </row>
    <row r="41" spans="1:5" ht="14.4">
      <c r="A41" s="99">
        <v>1976</v>
      </c>
      <c r="B41" s="100">
        <v>2973894</v>
      </c>
      <c r="C41" s="100">
        <v>1113409</v>
      </c>
      <c r="D41" s="100">
        <v>4087303</v>
      </c>
      <c r="E41" s="176">
        <f t="shared" si="0"/>
        <v>4.2276518131385443E-2</v>
      </c>
    </row>
    <row r="42" spans="1:5" ht="14.4">
      <c r="A42" s="102">
        <v>1975</v>
      </c>
      <c r="B42" s="103">
        <v>2886978</v>
      </c>
      <c r="C42" s="103">
        <v>1034537</v>
      </c>
      <c r="D42" s="103">
        <v>3921515</v>
      </c>
      <c r="E42" s="176">
        <f t="shared" si="0"/>
        <v>9.4865250983253074E-2</v>
      </c>
    </row>
    <row r="43" spans="1:5" ht="14.4">
      <c r="A43" s="99">
        <v>1974</v>
      </c>
      <c r="B43" s="100">
        <v>2641020</v>
      </c>
      <c r="C43" s="100">
        <v>940713</v>
      </c>
      <c r="D43" s="100">
        <v>3581733</v>
      </c>
      <c r="E43" s="176">
        <f t="shared" si="0"/>
        <v>0.17904714565049937</v>
      </c>
    </row>
    <row r="44" spans="1:5" ht="14.4">
      <c r="A44" s="102">
        <v>1973</v>
      </c>
      <c r="B44" s="103">
        <v>2206430</v>
      </c>
      <c r="C44" s="103">
        <v>831390</v>
      </c>
      <c r="D44" s="103">
        <v>3037820</v>
      </c>
      <c r="E44" s="176">
        <f t="shared" si="0"/>
        <v>3.7070113575806363E-2</v>
      </c>
    </row>
    <row r="45" spans="1:5" ht="14.4">
      <c r="A45" s="99">
        <v>1972</v>
      </c>
      <c r="B45" s="100">
        <v>2138653</v>
      </c>
      <c r="C45" s="100">
        <v>790580</v>
      </c>
      <c r="D45" s="100">
        <v>2929233</v>
      </c>
      <c r="E45" s="176">
        <f t="shared" si="0"/>
        <v>3.3851806361441701E-2</v>
      </c>
    </row>
    <row r="46" spans="1:5" ht="14.4">
      <c r="A46" s="102">
        <v>1971</v>
      </c>
      <c r="B46" s="103">
        <v>2088520</v>
      </c>
      <c r="C46" s="103">
        <v>744800</v>
      </c>
      <c r="D46" s="103">
        <v>2833320</v>
      </c>
      <c r="E46" s="176">
        <f t="shared" si="0"/>
        <v>7.5507838211480258E-2</v>
      </c>
    </row>
    <row r="47" spans="1:5" ht="14.4">
      <c r="A47" s="99">
        <v>1970</v>
      </c>
      <c r="B47" s="100">
        <v>1921404</v>
      </c>
      <c r="C47" s="100">
        <v>712998</v>
      </c>
      <c r="D47" s="100">
        <v>2634402</v>
      </c>
      <c r="E47" s="176">
        <f t="shared" si="0"/>
        <v>8.6151577895364401E-2</v>
      </c>
    </row>
    <row r="48" spans="1:5" ht="14.4">
      <c r="A48" s="102">
        <v>1969</v>
      </c>
      <c r="B48" s="103">
        <v>1799116</v>
      </c>
      <c r="C48" s="103">
        <v>626330</v>
      </c>
      <c r="D48" s="103">
        <v>2425446</v>
      </c>
      <c r="E48" s="176">
        <f t="shared" si="0"/>
        <v>5.9972948346199983E-2</v>
      </c>
    </row>
    <row r="49" spans="1:9" ht="14.4">
      <c r="A49" s="99">
        <v>1968</v>
      </c>
      <c r="B49" s="100">
        <v>1732427</v>
      </c>
      <c r="C49" s="100">
        <v>555788</v>
      </c>
      <c r="D49" s="100">
        <v>2288215</v>
      </c>
      <c r="E49" s="176">
        <f t="shared" si="0"/>
        <v>4.9523401530655771E-2</v>
      </c>
    </row>
    <row r="50" spans="1:9" ht="14.4">
      <c r="A50" s="102">
        <v>1967</v>
      </c>
      <c r="B50" s="103">
        <v>1643068</v>
      </c>
      <c r="C50" s="103">
        <v>537174</v>
      </c>
      <c r="D50" s="103">
        <v>2180242</v>
      </c>
      <c r="E50" s="176">
        <f t="shared" si="0"/>
        <v>3.3755482326165806E-2</v>
      </c>
    </row>
    <row r="51" spans="1:9" ht="14.4">
      <c r="A51" s="99">
        <v>1966</v>
      </c>
      <c r="B51" s="100">
        <v>1580811</v>
      </c>
      <c r="C51" s="100">
        <v>528239</v>
      </c>
      <c r="D51" s="100">
        <v>2109050</v>
      </c>
      <c r="E51" s="176">
        <f t="shared" si="0"/>
        <v>4.2489459193609774E-2</v>
      </c>
    </row>
    <row r="52" spans="1:9" ht="14.4">
      <c r="A52" s="102">
        <v>1965</v>
      </c>
      <c r="B52" s="103">
        <v>1501332</v>
      </c>
      <c r="C52" s="103">
        <v>521758</v>
      </c>
      <c r="D52" s="103">
        <v>2023090</v>
      </c>
      <c r="E52" s="176">
        <f t="shared" si="0"/>
        <v>1.9800797354987298E-2</v>
      </c>
    </row>
    <row r="53" spans="1:9" ht="14.4">
      <c r="A53" s="99">
        <v>1964</v>
      </c>
      <c r="B53" s="100">
        <v>1486318</v>
      </c>
      <c r="C53" s="100">
        <v>497491</v>
      </c>
      <c r="D53" s="100">
        <v>1983809</v>
      </c>
      <c r="E53" s="176">
        <f t="shared" si="0"/>
        <v>4.3110809645497468E-2</v>
      </c>
    </row>
    <row r="54" spans="1:9" ht="14.4">
      <c r="A54" s="102">
        <v>1963</v>
      </c>
      <c r="B54" s="103">
        <v>1418540</v>
      </c>
      <c r="C54" s="103">
        <v>483280</v>
      </c>
      <c r="D54" s="103">
        <v>1901820</v>
      </c>
      <c r="E54" s="176">
        <f t="shared" si="0"/>
        <v>4.5047916300334098E-2</v>
      </c>
      <c r="F54" s="109"/>
      <c r="G54" s="109"/>
      <c r="H54" s="109"/>
    </row>
    <row r="55" spans="1:9" ht="14.4">
      <c r="A55" s="99">
        <v>1962</v>
      </c>
      <c r="B55" s="100">
        <v>1350763</v>
      </c>
      <c r="C55" s="100">
        <v>469077</v>
      </c>
      <c r="D55" s="100">
        <v>1819840</v>
      </c>
      <c r="E55" s="176">
        <f t="shared" si="0"/>
        <v>8.04604115966156E-2</v>
      </c>
      <c r="F55" s="109"/>
      <c r="G55" s="109"/>
      <c r="H55" s="109"/>
    </row>
    <row r="56" spans="1:9" ht="14.4">
      <c r="A56" s="102">
        <v>1961</v>
      </c>
      <c r="B56" s="103">
        <v>1233592</v>
      </c>
      <c r="C56" s="103">
        <v>450727</v>
      </c>
      <c r="D56" s="103">
        <v>1684319</v>
      </c>
      <c r="E56" s="176">
        <f t="shared" si="0"/>
        <v>4.992494832405369E-2</v>
      </c>
      <c r="F56" s="109"/>
      <c r="G56" s="109"/>
      <c r="H56" s="109"/>
    </row>
    <row r="57" spans="1:9" ht="14.4">
      <c r="A57" s="99">
        <v>1960</v>
      </c>
      <c r="B57" s="100">
        <v>1168627</v>
      </c>
      <c r="C57" s="100">
        <v>435601</v>
      </c>
      <c r="D57" s="100">
        <v>1604228</v>
      </c>
      <c r="E57" s="176">
        <f t="shared" si="0"/>
        <v>3.5269002617490205E-2</v>
      </c>
      <c r="F57" s="109"/>
      <c r="G57" s="109"/>
      <c r="H57" s="109"/>
    </row>
    <row r="58" spans="1:9" ht="14.4">
      <c r="A58" s="102">
        <v>1959</v>
      </c>
      <c r="B58" s="103">
        <v>1131744</v>
      </c>
      <c r="C58" s="103">
        <v>417832</v>
      </c>
      <c r="D58" s="103">
        <v>1549576</v>
      </c>
      <c r="E58" s="176">
        <f t="shared" si="0"/>
        <v>6.2071414031266342E-2</v>
      </c>
      <c r="F58" s="109"/>
      <c r="G58" s="109"/>
      <c r="H58" s="109"/>
    </row>
    <row r="59" spans="1:9" ht="14.4">
      <c r="A59" s="99">
        <v>1958</v>
      </c>
      <c r="B59" s="100">
        <v>1064760</v>
      </c>
      <c r="C59" s="100">
        <v>394253</v>
      </c>
      <c r="D59" s="100">
        <v>1459013</v>
      </c>
      <c r="E59" s="176">
        <f t="shared" si="0"/>
        <v>6.2287034825812687E-2</v>
      </c>
    </row>
    <row r="60" spans="1:9" ht="14.4">
      <c r="A60" s="102">
        <v>1957</v>
      </c>
      <c r="B60" s="103">
        <v>989574</v>
      </c>
      <c r="C60" s="103">
        <v>383890</v>
      </c>
      <c r="D60" s="110">
        <v>1373464</v>
      </c>
      <c r="E60" s="176">
        <f t="shared" si="0"/>
        <v>2.1548659270564645E-2</v>
      </c>
      <c r="F60" s="111"/>
      <c r="G60" s="111"/>
      <c r="H60" s="111"/>
      <c r="I60" s="112"/>
    </row>
    <row r="61" spans="1:9" ht="14.4">
      <c r="A61" s="113">
        <v>1956</v>
      </c>
      <c r="B61" s="114">
        <v>961507</v>
      </c>
      <c r="C61" s="115">
        <v>382985</v>
      </c>
      <c r="D61" s="116">
        <v>1344492</v>
      </c>
      <c r="E61" s="117"/>
      <c r="F61" s="111"/>
      <c r="G61" s="111"/>
      <c r="H61" s="111"/>
      <c r="I61" s="112"/>
    </row>
    <row r="62" spans="1:9" ht="14.4">
      <c r="A62" s="134" t="str">
        <f>("Fall 2022")</f>
        <v>Fall 2022</v>
      </c>
      <c r="B62" s="135"/>
      <c r="C62" s="135" t="s">
        <v>478</v>
      </c>
      <c r="D62" s="135"/>
      <c r="E62" s="133" t="str">
        <f>("Raisa Basher")</f>
        <v>Raisa Basher</v>
      </c>
      <c r="F62" s="111" t="s">
        <v>478</v>
      </c>
      <c r="G62" s="111"/>
      <c r="H62" s="111"/>
      <c r="I62" s="112"/>
    </row>
    <row r="63" spans="1:9">
      <c r="A63" s="92" t="s">
        <v>42</v>
      </c>
      <c r="B63" s="213">
        <f>AVERAGE(B5:B61)</f>
        <v>4209581.317460889</v>
      </c>
      <c r="C63" s="213">
        <f t="shared" ref="C63:D63" si="2">AVERAGE(C5:C61)</f>
        <v>2249529.1171923438</v>
      </c>
      <c r="D63" s="213">
        <f t="shared" si="2"/>
        <v>6458934.9871583721</v>
      </c>
    </row>
    <row r="64" spans="1:9">
      <c r="A64" s="92" t="s">
        <v>446</v>
      </c>
      <c r="B64" s="214">
        <f>MAX(B5:B61)</f>
        <v>6974530</v>
      </c>
      <c r="C64" s="214">
        <f t="shared" ref="C64:D64" si="3">MAX(C5:C61)</f>
        <v>4249832</v>
      </c>
      <c r="D64" s="214">
        <f t="shared" si="3"/>
        <v>11224362</v>
      </c>
    </row>
    <row r="65" spans="1:4">
      <c r="A65" s="92" t="s">
        <v>447</v>
      </c>
      <c r="B65" s="213">
        <f>MIN(B5:B61)</f>
        <v>961507</v>
      </c>
      <c r="C65" s="213">
        <f t="shared" ref="C65:D65" si="4">MIN(C5:C61)</f>
        <v>382985</v>
      </c>
      <c r="D65" s="213">
        <f t="shared" si="4"/>
        <v>1344492</v>
      </c>
    </row>
    <row r="66" spans="1:4">
      <c r="A66" s="92" t="s">
        <v>43</v>
      </c>
      <c r="B66" s="214">
        <f>_xlfn.STDEV.S(B5:B61)</f>
        <v>2128781.3358684252</v>
      </c>
      <c r="C66" s="214">
        <f t="shared" ref="C66:D66" si="5">_xlfn.STDEV.S(C5:C61)</f>
        <v>1462627.0717848579</v>
      </c>
      <c r="D66" s="214">
        <f t="shared" si="5"/>
        <v>3575008.0137418136</v>
      </c>
    </row>
    <row r="67" spans="1:4">
      <c r="B67" s="109"/>
      <c r="C67" s="109"/>
      <c r="D67" s="109"/>
    </row>
    <row r="68" spans="1:4">
      <c r="B68" s="109"/>
      <c r="C68" s="109"/>
      <c r="D68" s="109"/>
    </row>
    <row r="69" spans="1:4">
      <c r="B69" s="109"/>
      <c r="C69" s="109"/>
      <c r="D69" s="109"/>
    </row>
    <row r="70" spans="1:4">
      <c r="B70" s="109"/>
      <c r="C70" s="109"/>
      <c r="D70" s="109"/>
    </row>
    <row r="73" spans="1:4">
      <c r="A73" s="92" t="s">
        <v>47</v>
      </c>
    </row>
    <row r="74" spans="1:4" ht="14.4">
      <c r="A74" s="84" t="s">
        <v>448</v>
      </c>
    </row>
  </sheetData>
  <phoneticPr fontId="59" type="noConversion"/>
  <conditionalFormatting sqref="G24">
    <cfRule type="expression" dxfId="2" priority="3">
      <formula>B27=5230074</formula>
    </cfRule>
  </conditionalFormatting>
  <conditionalFormatting sqref="G25">
    <cfRule type="expression" dxfId="1" priority="2">
      <formula>C27=3303927.5</formula>
    </cfRule>
  </conditionalFormatting>
  <conditionalFormatting sqref="G26">
    <cfRule type="expression" dxfId="0" priority="1">
      <formula>D27=8534001.5</formula>
    </cfRule>
  </conditionalFormatting>
  <hyperlinks>
    <hyperlink ref="A74" r:id="rId1" xr:uid="{02CF8B8C-9748-4F31-89AA-D23EAFEB1B88}"/>
  </hyperlinks>
  <pageMargins left="0.7" right="0.7" top="0.75" bottom="0.75" header="0.3" footer="0.3"/>
  <pageSetup orientation="portrait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E0CC8-C28F-4CE6-AD40-1184037FC478}">
  <sheetPr codeName="Sheet3"/>
  <dimension ref="A1:CB82"/>
  <sheetViews>
    <sheetView workbookViewId="0">
      <selection activeCell="B15" sqref="B15:C15"/>
    </sheetView>
  </sheetViews>
  <sheetFormatPr defaultRowHeight="14.4"/>
  <cols>
    <col min="2" max="3" width="12.88671875" customWidth="1"/>
    <col min="4" max="4" width="11.88671875" customWidth="1"/>
  </cols>
  <sheetData>
    <row r="1" spans="1:80">
      <c r="A1" t="s">
        <v>489</v>
      </c>
    </row>
    <row r="2" spans="1:80">
      <c r="A2" t="s">
        <v>232</v>
      </c>
      <c r="B2" t="s">
        <v>490</v>
      </c>
      <c r="C2" t="s">
        <v>491</v>
      </c>
      <c r="D2" t="s">
        <v>450</v>
      </c>
    </row>
    <row r="3" spans="1:80">
      <c r="A3">
        <v>1940</v>
      </c>
      <c r="B3" s="177">
        <v>41132000</v>
      </c>
      <c r="C3" s="177">
        <v>32371000</v>
      </c>
      <c r="D3" s="177">
        <f>SUM(B3:C3)</f>
        <v>73503000</v>
      </c>
      <c r="BU3" s="88"/>
      <c r="BV3" s="88"/>
      <c r="BW3" s="88"/>
      <c r="BX3" s="88"/>
      <c r="BY3" s="88"/>
      <c r="BZ3" s="88"/>
      <c r="CA3" s="88"/>
      <c r="CB3" s="88"/>
    </row>
    <row r="4" spans="1:80">
      <c r="A4">
        <v>1945</v>
      </c>
      <c r="B4" s="177">
        <v>48384000</v>
      </c>
      <c r="C4" s="177">
        <v>39860000</v>
      </c>
      <c r="D4" s="177">
        <f t="shared" ref="D4:D67" si="0">SUM(B4:C4)</f>
        <v>88244000</v>
      </c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  <c r="AZ4" s="177"/>
      <c r="BA4" s="177"/>
      <c r="BB4" s="177"/>
      <c r="BC4" s="177"/>
      <c r="BD4" s="177"/>
      <c r="BE4" s="177"/>
      <c r="BF4" s="177"/>
      <c r="BG4" s="177"/>
      <c r="BH4" s="177"/>
      <c r="BI4" s="177"/>
      <c r="BJ4" s="177"/>
      <c r="BK4" s="177"/>
      <c r="BL4" s="177"/>
      <c r="BM4" s="177"/>
      <c r="BN4" s="177"/>
      <c r="BO4" s="177"/>
      <c r="BP4" s="177"/>
      <c r="BQ4" s="177"/>
      <c r="BR4" s="177"/>
      <c r="BS4" s="177"/>
      <c r="BU4" s="178"/>
      <c r="BV4" s="178"/>
      <c r="BW4" s="178"/>
      <c r="BX4" s="178"/>
      <c r="BY4" s="178"/>
      <c r="BZ4" s="178"/>
      <c r="CA4" s="178"/>
      <c r="CB4" s="178"/>
    </row>
    <row r="5" spans="1:80">
      <c r="A5">
        <v>1946</v>
      </c>
      <c r="B5" s="177">
        <v>50928000</v>
      </c>
      <c r="C5" s="177">
        <v>43665000</v>
      </c>
      <c r="D5" s="177">
        <f t="shared" si="0"/>
        <v>94593000</v>
      </c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U5" s="178"/>
      <c r="BV5" s="178"/>
      <c r="BW5" s="178"/>
      <c r="BX5" s="178"/>
      <c r="BY5" s="178"/>
      <c r="BZ5" s="178"/>
      <c r="CA5" s="178"/>
      <c r="CB5" s="178"/>
    </row>
    <row r="6" spans="1:80">
      <c r="A6">
        <v>1947</v>
      </c>
      <c r="B6" s="177">
        <v>51673000</v>
      </c>
      <c r="C6" s="177">
        <v>45151000</v>
      </c>
      <c r="D6" s="177">
        <f t="shared" si="0"/>
        <v>96824000</v>
      </c>
    </row>
    <row r="7" spans="1:80">
      <c r="A7">
        <v>1948</v>
      </c>
      <c r="B7" s="177">
        <v>52285000</v>
      </c>
      <c r="C7" s="177">
        <v>46308000</v>
      </c>
      <c r="D7" s="177">
        <f t="shared" si="0"/>
        <v>98593000</v>
      </c>
    </row>
    <row r="8" spans="1:80">
      <c r="A8">
        <v>1949</v>
      </c>
      <c r="B8" s="177">
        <v>52846000</v>
      </c>
      <c r="C8" s="177">
        <v>46399000</v>
      </c>
      <c r="D8" s="177">
        <f t="shared" si="0"/>
        <v>99245000</v>
      </c>
    </row>
    <row r="9" spans="1:80">
      <c r="A9">
        <v>1950</v>
      </c>
      <c r="B9" s="177">
        <v>53829000</v>
      </c>
      <c r="C9" s="177">
        <v>46582000</v>
      </c>
      <c r="D9" s="177">
        <f t="shared" si="0"/>
        <v>100411000</v>
      </c>
    </row>
    <row r="10" spans="1:80">
      <c r="A10">
        <v>1951</v>
      </c>
      <c r="B10" s="177">
        <v>54018000</v>
      </c>
      <c r="C10" s="177">
        <v>46279000</v>
      </c>
      <c r="D10" s="177">
        <f t="shared" si="0"/>
        <v>100297000</v>
      </c>
    </row>
    <row r="11" spans="1:80">
      <c r="A11">
        <v>1952</v>
      </c>
      <c r="B11" s="177">
        <v>53951000</v>
      </c>
      <c r="C11" s="177">
        <v>46210000</v>
      </c>
      <c r="D11" s="177">
        <f t="shared" si="0"/>
        <v>100161000</v>
      </c>
    </row>
    <row r="12" spans="1:80">
      <c r="A12">
        <v>1953</v>
      </c>
      <c r="B12" s="177">
        <v>54472000</v>
      </c>
      <c r="C12" s="177">
        <v>45949000</v>
      </c>
      <c r="D12" s="177">
        <f t="shared" si="0"/>
        <v>100421000</v>
      </c>
    </row>
    <row r="13" spans="1:80">
      <c r="A13">
        <v>1954</v>
      </c>
      <c r="B13" s="177">
        <v>55072000</v>
      </c>
      <c r="C13" s="177">
        <v>46176000</v>
      </c>
      <c r="D13" s="177">
        <f t="shared" si="0"/>
        <v>101248000</v>
      </c>
    </row>
    <row r="14" spans="1:80">
      <c r="A14">
        <v>1955</v>
      </c>
      <c r="B14" s="177">
        <v>56147000</v>
      </c>
      <c r="C14" s="177">
        <v>46448000</v>
      </c>
      <c r="D14" s="177">
        <f t="shared" si="0"/>
        <v>102595000</v>
      </c>
    </row>
    <row r="15" spans="1:80">
      <c r="A15">
        <v>1956</v>
      </c>
      <c r="B15" s="177">
        <v>57102000</v>
      </c>
      <c r="C15" s="177">
        <v>47162000</v>
      </c>
      <c r="D15" s="177">
        <f t="shared" si="0"/>
        <v>104264000</v>
      </c>
    </row>
    <row r="16" spans="1:80">
      <c r="A16">
        <v>1957</v>
      </c>
      <c r="B16" s="177">
        <v>57805000</v>
      </c>
      <c r="C16" s="177">
        <v>47044000</v>
      </c>
      <c r="D16" s="177">
        <f t="shared" si="0"/>
        <v>104849000</v>
      </c>
    </row>
    <row r="17" spans="1:4">
      <c r="A17">
        <v>1958</v>
      </c>
      <c r="B17" s="177">
        <v>57418000</v>
      </c>
      <c r="C17" s="177">
        <v>46955000</v>
      </c>
      <c r="D17" s="177">
        <f t="shared" si="0"/>
        <v>104373000</v>
      </c>
    </row>
    <row r="18" spans="1:4">
      <c r="A18">
        <v>1959</v>
      </c>
      <c r="B18" s="177">
        <v>58300000</v>
      </c>
      <c r="C18" s="177">
        <v>47848000</v>
      </c>
      <c r="D18" s="177">
        <f t="shared" si="0"/>
        <v>106148000</v>
      </c>
    </row>
    <row r="19" spans="1:4">
      <c r="A19">
        <v>1960</v>
      </c>
      <c r="B19" s="177">
        <v>58882000</v>
      </c>
      <c r="C19" s="177">
        <v>47699000</v>
      </c>
      <c r="D19" s="177">
        <f t="shared" si="0"/>
        <v>106581000</v>
      </c>
    </row>
    <row r="20" spans="1:4">
      <c r="A20">
        <v>1961</v>
      </c>
      <c r="B20" s="177">
        <v>59261000</v>
      </c>
      <c r="C20" s="177">
        <v>48216000</v>
      </c>
      <c r="D20" s="177">
        <f t="shared" si="0"/>
        <v>107477000</v>
      </c>
    </row>
    <row r="21" spans="1:4">
      <c r="A21">
        <v>1962</v>
      </c>
      <c r="B21" s="177">
        <v>59849000</v>
      </c>
      <c r="C21" s="177">
        <v>48888000</v>
      </c>
      <c r="D21" s="177">
        <f t="shared" si="0"/>
        <v>108737000</v>
      </c>
    </row>
    <row r="22" spans="1:4">
      <c r="A22">
        <v>1963</v>
      </c>
      <c r="B22" s="177">
        <v>58905000</v>
      </c>
      <c r="C22" s="177">
        <v>46830000</v>
      </c>
      <c r="D22" s="177">
        <f t="shared" si="0"/>
        <v>105735000</v>
      </c>
    </row>
    <row r="23" spans="1:4">
      <c r="A23">
        <v>1964</v>
      </c>
      <c r="B23" s="177">
        <v>60412000</v>
      </c>
      <c r="C23" s="177">
        <v>48383000</v>
      </c>
      <c r="D23" s="177">
        <f t="shared" si="0"/>
        <v>108795000</v>
      </c>
    </row>
    <row r="24" spans="1:4">
      <c r="A24">
        <v>1965</v>
      </c>
      <c r="B24" s="177">
        <v>60358000</v>
      </c>
      <c r="C24" s="177">
        <v>48600000</v>
      </c>
      <c r="D24" s="177">
        <f t="shared" si="0"/>
        <v>108958000</v>
      </c>
    </row>
    <row r="25" spans="1:4">
      <c r="A25">
        <v>1966</v>
      </c>
      <c r="B25" s="177">
        <v>61397000</v>
      </c>
      <c r="C25" s="177">
        <v>49282000</v>
      </c>
      <c r="D25" s="177">
        <f t="shared" si="0"/>
        <v>110679000</v>
      </c>
    </row>
    <row r="26" spans="1:4">
      <c r="A26">
        <v>1967</v>
      </c>
      <c r="B26" s="177">
        <v>61561000</v>
      </c>
      <c r="C26" s="177">
        <v>49224000</v>
      </c>
      <c r="D26" s="177">
        <f t="shared" si="0"/>
        <v>110785000</v>
      </c>
    </row>
    <row r="27" spans="1:4">
      <c r="A27">
        <v>1968</v>
      </c>
      <c r="B27" s="177">
        <v>62535000</v>
      </c>
      <c r="C27" s="177">
        <v>49693000</v>
      </c>
      <c r="D27" s="177">
        <f t="shared" si="0"/>
        <v>112228000</v>
      </c>
    </row>
    <row r="28" spans="1:4">
      <c r="A28">
        <v>1969</v>
      </c>
      <c r="B28" s="177">
        <v>62060000</v>
      </c>
      <c r="C28" s="177">
        <v>49675000</v>
      </c>
      <c r="D28" s="177">
        <f t="shared" si="0"/>
        <v>111735000</v>
      </c>
    </row>
    <row r="29" spans="1:4">
      <c r="A29">
        <v>1970</v>
      </c>
      <c r="B29" s="177">
        <v>62108000</v>
      </c>
      <c r="C29" s="177">
        <v>49217000</v>
      </c>
      <c r="D29" s="177">
        <f t="shared" si="0"/>
        <v>111325000</v>
      </c>
    </row>
    <row r="30" spans="1:4">
      <c r="A30">
        <v>1971</v>
      </c>
      <c r="B30" s="177">
        <v>62231000</v>
      </c>
      <c r="C30" s="177">
        <v>49665000</v>
      </c>
      <c r="D30" s="177">
        <f t="shared" si="0"/>
        <v>111896000</v>
      </c>
    </row>
    <row r="31" spans="1:4">
      <c r="A31">
        <v>1972</v>
      </c>
      <c r="B31" s="177">
        <v>62510000</v>
      </c>
      <c r="C31" s="177">
        <v>50001000</v>
      </c>
      <c r="D31" s="177">
        <f t="shared" si="0"/>
        <v>112511000</v>
      </c>
    </row>
    <row r="32" spans="1:4">
      <c r="A32">
        <v>1973</v>
      </c>
      <c r="B32" s="177">
        <v>63147000</v>
      </c>
      <c r="C32" s="177">
        <v>51717000</v>
      </c>
      <c r="D32" s="177">
        <f t="shared" si="0"/>
        <v>114864000</v>
      </c>
    </row>
    <row r="33" spans="1:4">
      <c r="A33">
        <v>1974</v>
      </c>
      <c r="B33" s="177">
        <v>61877000</v>
      </c>
      <c r="C33" s="177">
        <v>51679000</v>
      </c>
      <c r="D33" s="177">
        <f t="shared" si="0"/>
        <v>113556000</v>
      </c>
    </row>
    <row r="34" spans="1:4">
      <c r="A34">
        <v>1975</v>
      </c>
      <c r="B34" s="177">
        <v>60655000</v>
      </c>
      <c r="C34" s="177">
        <v>51096000</v>
      </c>
      <c r="D34" s="177">
        <f t="shared" si="0"/>
        <v>111751000</v>
      </c>
    </row>
    <row r="35" spans="1:4">
      <c r="A35">
        <v>1976</v>
      </c>
      <c r="B35" s="177">
        <v>60977000</v>
      </c>
      <c r="C35" s="177">
        <v>51565000</v>
      </c>
      <c r="D35" s="177">
        <f t="shared" si="0"/>
        <v>112542000</v>
      </c>
    </row>
    <row r="36" spans="1:4">
      <c r="A36">
        <v>1977</v>
      </c>
      <c r="B36" s="177">
        <v>61495000</v>
      </c>
      <c r="C36" s="177">
        <v>52429000</v>
      </c>
      <c r="D36" s="177">
        <f t="shared" si="0"/>
        <v>113924000</v>
      </c>
    </row>
    <row r="37" spans="1:4">
      <c r="A37">
        <v>1978</v>
      </c>
      <c r="B37" s="177">
        <v>61990000</v>
      </c>
      <c r="C37" s="177">
        <v>53990000</v>
      </c>
      <c r="D37" s="177">
        <f t="shared" si="0"/>
        <v>115980000</v>
      </c>
    </row>
    <row r="38" spans="1:4">
      <c r="A38">
        <v>1979</v>
      </c>
      <c r="B38" s="177">
        <v>62223000</v>
      </c>
      <c r="C38" s="177">
        <v>54380000</v>
      </c>
      <c r="D38" s="177">
        <f t="shared" si="0"/>
        <v>116603000</v>
      </c>
    </row>
    <row r="39" spans="1:4">
      <c r="A39">
        <v>1980</v>
      </c>
      <c r="B39" s="177">
        <v>62202000</v>
      </c>
      <c r="C39" s="177">
        <v>54676000</v>
      </c>
      <c r="D39" s="177">
        <f t="shared" si="0"/>
        <v>116878000</v>
      </c>
    </row>
    <row r="40" spans="1:4">
      <c r="A40">
        <v>1981</v>
      </c>
      <c r="B40" s="177">
        <v>61431000</v>
      </c>
      <c r="C40" s="177">
        <v>55180000</v>
      </c>
      <c r="D40" s="177">
        <f t="shared" si="0"/>
        <v>116611000</v>
      </c>
    </row>
    <row r="41" spans="1:4">
      <c r="A41">
        <v>1982</v>
      </c>
      <c r="B41" s="177">
        <v>62487000</v>
      </c>
      <c r="C41" s="177">
        <v>56261000</v>
      </c>
      <c r="D41" s="177">
        <f t="shared" si="0"/>
        <v>118748000</v>
      </c>
    </row>
    <row r="42" spans="1:4">
      <c r="A42">
        <v>1983</v>
      </c>
      <c r="B42" s="177">
        <v>62645000</v>
      </c>
      <c r="C42" s="177">
        <v>56747000</v>
      </c>
      <c r="D42" s="177">
        <f t="shared" si="0"/>
        <v>119392000</v>
      </c>
    </row>
    <row r="43" spans="1:4">
      <c r="A43">
        <v>1984</v>
      </c>
      <c r="B43" s="177">
        <v>63340000</v>
      </c>
      <c r="C43" s="177">
        <v>57574000</v>
      </c>
      <c r="D43" s="177">
        <f t="shared" si="0"/>
        <v>120914000</v>
      </c>
    </row>
    <row r="44" spans="1:4">
      <c r="A44">
        <v>1985</v>
      </c>
      <c r="B44" s="177">
        <v>62766000</v>
      </c>
      <c r="C44" s="177">
        <v>58826000</v>
      </c>
      <c r="D44" s="177">
        <f t="shared" si="0"/>
        <v>121592000</v>
      </c>
    </row>
    <row r="45" spans="1:4">
      <c r="A45">
        <v>1986</v>
      </c>
      <c r="B45" s="177">
        <v>62502000</v>
      </c>
      <c r="C45" s="177">
        <v>58925000</v>
      </c>
      <c r="D45" s="177">
        <f t="shared" si="0"/>
        <v>121427000</v>
      </c>
    </row>
    <row r="46" spans="1:4">
      <c r="A46">
        <v>1987</v>
      </c>
      <c r="B46" s="177">
        <v>62826000</v>
      </c>
      <c r="C46" s="177">
        <v>60112000</v>
      </c>
      <c r="D46" s="177">
        <f t="shared" si="0"/>
        <v>122938000</v>
      </c>
    </row>
    <row r="47" spans="1:4">
      <c r="A47">
        <v>1988</v>
      </c>
      <c r="B47" s="177">
        <v>62695000</v>
      </c>
      <c r="C47" s="177">
        <v>61474000</v>
      </c>
      <c r="D47" s="177">
        <f t="shared" si="0"/>
        <v>124169000</v>
      </c>
    </row>
    <row r="48" spans="1:4">
      <c r="A48">
        <v>1989</v>
      </c>
      <c r="B48" s="177">
        <v>62649000</v>
      </c>
      <c r="C48" s="177">
        <v>62008000</v>
      </c>
      <c r="D48" s="177">
        <f t="shared" si="0"/>
        <v>124657000</v>
      </c>
    </row>
    <row r="49" spans="1:4">
      <c r="A49">
        <v>1990</v>
      </c>
      <c r="B49" s="177">
        <v>62328000</v>
      </c>
      <c r="C49" s="177">
        <v>62635000</v>
      </c>
      <c r="D49" s="177">
        <f t="shared" si="0"/>
        <v>124963000</v>
      </c>
    </row>
    <row r="50" spans="1:4">
      <c r="A50">
        <v>1991</v>
      </c>
      <c r="B50" s="177">
        <v>60687000</v>
      </c>
      <c r="C50" s="177">
        <v>62068000</v>
      </c>
      <c r="D50" s="177">
        <f t="shared" si="0"/>
        <v>122755000</v>
      </c>
    </row>
    <row r="51" spans="1:4">
      <c r="A51">
        <v>1992</v>
      </c>
      <c r="B51" s="177">
        <v>60164000</v>
      </c>
      <c r="C51" s="177">
        <v>62160000</v>
      </c>
      <c r="D51" s="177">
        <f t="shared" si="0"/>
        <v>122324000</v>
      </c>
    </row>
    <row r="52" spans="1:4">
      <c r="A52">
        <v>1993</v>
      </c>
      <c r="B52" s="177">
        <v>59812000</v>
      </c>
      <c r="C52" s="177">
        <v>62566000</v>
      </c>
      <c r="D52" s="177">
        <f t="shared" si="0"/>
        <v>122378000</v>
      </c>
    </row>
    <row r="53" spans="1:4">
      <c r="A53">
        <v>1994</v>
      </c>
      <c r="B53" s="177">
        <v>59305000</v>
      </c>
      <c r="C53" s="177">
        <v>62295000</v>
      </c>
      <c r="D53" s="177">
        <f t="shared" si="0"/>
        <v>121600000</v>
      </c>
    </row>
    <row r="54" spans="1:4">
      <c r="A54">
        <v>1995</v>
      </c>
      <c r="B54" s="177">
        <v>58193000</v>
      </c>
      <c r="C54" s="177">
        <v>61229000</v>
      </c>
      <c r="D54" s="177">
        <f t="shared" si="0"/>
        <v>119422000</v>
      </c>
    </row>
    <row r="55" spans="1:4">
      <c r="A55">
        <v>1996</v>
      </c>
      <c r="B55" s="177">
        <v>56983000</v>
      </c>
      <c r="C55" s="177">
        <v>60798000</v>
      </c>
      <c r="D55" s="177">
        <f t="shared" si="0"/>
        <v>117781000</v>
      </c>
    </row>
    <row r="56" spans="1:4">
      <c r="A56">
        <v>1997</v>
      </c>
      <c r="B56" s="177">
        <v>56728000</v>
      </c>
      <c r="C56" s="177">
        <v>60486000</v>
      </c>
      <c r="D56" s="177">
        <f t="shared" si="0"/>
        <v>117214000</v>
      </c>
    </row>
    <row r="57" spans="1:4">
      <c r="A57">
        <v>1998</v>
      </c>
      <c r="B57" s="177">
        <v>56182000</v>
      </c>
      <c r="C57" s="177">
        <v>60066000</v>
      </c>
      <c r="D57" s="177">
        <f t="shared" si="0"/>
        <v>116248000</v>
      </c>
    </row>
    <row r="58" spans="1:4">
      <c r="A58">
        <v>1999</v>
      </c>
      <c r="B58" s="177">
        <v>55979000</v>
      </c>
      <c r="C58" s="177">
        <v>59894000</v>
      </c>
      <c r="D58" s="177">
        <f t="shared" si="0"/>
        <v>115873000</v>
      </c>
    </row>
    <row r="59" spans="1:4">
      <c r="A59">
        <v>2000</v>
      </c>
      <c r="B59" s="177">
        <v>55773000</v>
      </c>
      <c r="C59" s="177">
        <v>59421000</v>
      </c>
      <c r="D59" s="177">
        <f t="shared" si="0"/>
        <v>115194000</v>
      </c>
    </row>
    <row r="60" spans="1:4">
      <c r="A60">
        <v>2001</v>
      </c>
      <c r="B60" s="177">
        <v>55578000</v>
      </c>
      <c r="C60" s="177">
        <v>59090000</v>
      </c>
      <c r="D60" s="177">
        <f t="shared" si="0"/>
        <v>114668000</v>
      </c>
    </row>
    <row r="61" spans="1:4">
      <c r="A61">
        <v>2002</v>
      </c>
      <c r="B61" s="177">
        <v>55186000</v>
      </c>
      <c r="C61" s="177">
        <v>58780000</v>
      </c>
      <c r="D61" s="177">
        <f t="shared" si="0"/>
        <v>113966000</v>
      </c>
    </row>
    <row r="62" spans="1:4">
      <c r="A62">
        <v>2003</v>
      </c>
      <c r="B62" s="177">
        <v>55185000</v>
      </c>
      <c r="C62" s="177">
        <v>58495000</v>
      </c>
      <c r="D62" s="177">
        <f t="shared" si="0"/>
        <v>113680000</v>
      </c>
    </row>
    <row r="63" spans="1:4">
      <c r="A63">
        <v>2004</v>
      </c>
      <c r="B63" s="177">
        <v>54626000</v>
      </c>
      <c r="C63" s="177">
        <v>57754000</v>
      </c>
      <c r="D63" s="177">
        <f t="shared" si="0"/>
        <v>112380000</v>
      </c>
    </row>
    <row r="64" spans="1:4">
      <c r="A64">
        <v>2005</v>
      </c>
      <c r="B64" s="177">
        <v>53345000</v>
      </c>
      <c r="C64" s="177">
        <v>55270000</v>
      </c>
      <c r="D64" s="177">
        <f t="shared" si="0"/>
        <v>108615000</v>
      </c>
    </row>
    <row r="65" spans="1:4">
      <c r="A65">
        <v>2006</v>
      </c>
      <c r="B65" s="177">
        <v>52329000</v>
      </c>
      <c r="C65" s="177">
        <v>53179000</v>
      </c>
      <c r="D65" s="177">
        <f t="shared" si="0"/>
        <v>105508000</v>
      </c>
    </row>
    <row r="66" spans="1:4">
      <c r="A66">
        <v>2007</v>
      </c>
      <c r="B66" s="177">
        <v>50742000</v>
      </c>
      <c r="C66" s="177">
        <v>51246000</v>
      </c>
      <c r="D66" s="177">
        <f t="shared" si="0"/>
        <v>101988000</v>
      </c>
    </row>
    <row r="67" spans="1:4">
      <c r="A67">
        <v>2008</v>
      </c>
      <c r="B67" s="177">
        <v>48597000</v>
      </c>
      <c r="C67" s="177">
        <v>49115000</v>
      </c>
      <c r="D67" s="177">
        <f t="shared" si="0"/>
        <v>97712000</v>
      </c>
    </row>
    <row r="68" spans="1:4">
      <c r="A68">
        <v>2009</v>
      </c>
      <c r="B68" s="177">
        <v>45653000</v>
      </c>
      <c r="C68" s="177">
        <v>46164000</v>
      </c>
      <c r="D68" s="177">
        <f t="shared" ref="D68:D77" si="1">SUM(B68:C68)</f>
        <v>91817000</v>
      </c>
    </row>
    <row r="69" spans="1:4">
      <c r="A69">
        <v>2010</v>
      </c>
      <c r="B69" s="179">
        <f>AVERAGE(B68,B70)</f>
        <v>45037000</v>
      </c>
      <c r="C69" s="179">
        <f>AVERAGE(C68,C70)</f>
        <v>47337000</v>
      </c>
      <c r="D69" s="177">
        <f t="shared" si="1"/>
        <v>92374000</v>
      </c>
    </row>
    <row r="70" spans="1:4">
      <c r="A70" s="88">
        <v>2011</v>
      </c>
      <c r="B70" s="178">
        <v>44421000</v>
      </c>
      <c r="C70" s="178">
        <v>48510000</v>
      </c>
      <c r="D70" s="177">
        <f t="shared" si="1"/>
        <v>92931000</v>
      </c>
    </row>
    <row r="71" spans="1:4">
      <c r="A71" s="88">
        <v>2012</v>
      </c>
      <c r="B71" s="178">
        <v>43433000</v>
      </c>
      <c r="C71" s="178">
        <v>44821000</v>
      </c>
      <c r="D71" s="177">
        <f t="shared" si="1"/>
        <v>88254000</v>
      </c>
    </row>
    <row r="72" spans="1:4">
      <c r="A72" s="88">
        <v>2013</v>
      </c>
      <c r="B72" s="178">
        <v>40712000</v>
      </c>
      <c r="C72" s="178">
        <v>43292000</v>
      </c>
      <c r="D72" s="177">
        <f t="shared" si="1"/>
        <v>84004000</v>
      </c>
    </row>
    <row r="73" spans="1:4">
      <c r="A73" s="88">
        <v>2014</v>
      </c>
      <c r="B73" s="178">
        <v>40420000</v>
      </c>
      <c r="C73" s="178">
        <v>42751000</v>
      </c>
      <c r="D73" s="177">
        <f t="shared" si="1"/>
        <v>83171000</v>
      </c>
    </row>
    <row r="74" spans="1:4">
      <c r="A74" s="88">
        <v>2015</v>
      </c>
      <c r="B74" s="178">
        <v>37711860</v>
      </c>
      <c r="C74" s="178">
        <v>40955458</v>
      </c>
      <c r="D74" s="177">
        <f t="shared" si="1"/>
        <v>78667318</v>
      </c>
    </row>
    <row r="75" spans="1:4">
      <c r="A75" s="88">
        <v>2016</v>
      </c>
      <c r="B75" s="178">
        <v>34657199</v>
      </c>
      <c r="C75" s="178">
        <v>37801888</v>
      </c>
      <c r="D75" s="177">
        <f t="shared" si="1"/>
        <v>72459087</v>
      </c>
    </row>
    <row r="76" spans="1:4">
      <c r="A76" s="88">
        <v>2017</v>
      </c>
      <c r="B76" s="178">
        <v>30948419</v>
      </c>
      <c r="C76" s="178">
        <v>33971695</v>
      </c>
      <c r="D76" s="177">
        <f t="shared" si="1"/>
        <v>64920114</v>
      </c>
    </row>
    <row r="77" spans="1:4">
      <c r="A77" s="88">
        <v>2018</v>
      </c>
      <c r="B77" s="178">
        <v>28554137</v>
      </c>
      <c r="C77" s="178">
        <v>30817351</v>
      </c>
      <c r="D77" s="177">
        <f t="shared" si="1"/>
        <v>59371488</v>
      </c>
    </row>
    <row r="81" spans="1:1">
      <c r="A81" t="s">
        <v>488</v>
      </c>
    </row>
    <row r="82" spans="1:1">
      <c r="A82" t="s">
        <v>487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133"/>
  <sheetViews>
    <sheetView workbookViewId="0"/>
  </sheetViews>
  <sheetFormatPr defaultColWidth="8.88671875" defaultRowHeight="14.4"/>
  <cols>
    <col min="1" max="3" width="14.44140625" style="1" customWidth="1"/>
    <col min="4" max="4" width="32.109375" style="1" customWidth="1"/>
  </cols>
  <sheetData>
    <row r="1" spans="1:5">
      <c r="A1" s="4" t="s">
        <v>5</v>
      </c>
      <c r="E1" t="s">
        <v>502</v>
      </c>
    </row>
    <row r="2" spans="1:5">
      <c r="A2" s="2" t="s">
        <v>10</v>
      </c>
      <c r="B2" s="2" t="s">
        <v>0</v>
      </c>
      <c r="C2" s="2" t="s">
        <v>4</v>
      </c>
      <c r="D2" s="2" t="s">
        <v>12</v>
      </c>
      <c r="E2" t="s">
        <v>505</v>
      </c>
    </row>
    <row r="3" spans="1:5">
      <c r="A3" s="2" t="s">
        <v>506</v>
      </c>
      <c r="B3" s="2" t="s">
        <v>500</v>
      </c>
      <c r="C3" s="2" t="s">
        <v>501</v>
      </c>
      <c r="D3" s="203">
        <v>44805.835043287036</v>
      </c>
      <c r="E3" t="s">
        <v>500</v>
      </c>
    </row>
    <row r="4" spans="1:5">
      <c r="A4" t="s">
        <v>13</v>
      </c>
      <c r="B4" t="s">
        <v>14</v>
      </c>
      <c r="C4">
        <v>0</v>
      </c>
      <c r="D4" s="7">
        <v>43831</v>
      </c>
      <c r="E4" t="s">
        <v>504</v>
      </c>
    </row>
    <row r="5" spans="1:5">
      <c r="A5"/>
      <c r="B5"/>
      <c r="C5"/>
      <c r="D5" s="7"/>
      <c r="E5" t="s">
        <v>503</v>
      </c>
    </row>
    <row r="6" spans="1:5">
      <c r="A6"/>
      <c r="B6"/>
      <c r="C6"/>
      <c r="D6" s="7"/>
    </row>
    <row r="7" spans="1:5">
      <c r="A7"/>
      <c r="B7"/>
      <c r="C7"/>
      <c r="D7" s="7"/>
    </row>
    <row r="8" spans="1:5">
      <c r="A8"/>
      <c r="B8"/>
      <c r="C8"/>
      <c r="D8" s="7"/>
    </row>
    <row r="9" spans="1:5">
      <c r="A9"/>
      <c r="B9"/>
      <c r="C9" s="7"/>
      <c r="D9"/>
    </row>
    <row r="10" spans="1:5">
      <c r="A10"/>
      <c r="B10"/>
      <c r="C10" s="7"/>
      <c r="D10"/>
    </row>
    <row r="11" spans="1:5">
      <c r="A11"/>
      <c r="B11"/>
      <c r="C11" s="7"/>
      <c r="D11"/>
    </row>
    <row r="12" spans="1:5">
      <c r="A12"/>
      <c r="B12"/>
      <c r="C12" s="7"/>
      <c r="D12"/>
    </row>
    <row r="13" spans="1:5">
      <c r="A13"/>
      <c r="B13"/>
      <c r="C13" s="7"/>
      <c r="D13"/>
    </row>
    <row r="14" spans="1:5">
      <c r="A14"/>
      <c r="B14"/>
      <c r="C14" s="7"/>
      <c r="D14"/>
    </row>
    <row r="15" spans="1:5">
      <c r="A15"/>
      <c r="B15"/>
      <c r="C15" s="7"/>
      <c r="D15"/>
    </row>
    <row r="16" spans="1:5">
      <c r="A16"/>
      <c r="B16"/>
      <c r="C16" s="7"/>
      <c r="D16"/>
    </row>
    <row r="17" spans="1:4">
      <c r="A17"/>
      <c r="B17"/>
      <c r="C17" s="7"/>
      <c r="D17"/>
    </row>
    <row r="18" spans="1:4">
      <c r="A18"/>
      <c r="B18"/>
      <c r="C18" s="7"/>
      <c r="D18"/>
    </row>
    <row r="19" spans="1:4">
      <c r="A19"/>
      <c r="B19"/>
      <c r="C19" s="7"/>
      <c r="D19"/>
    </row>
    <row r="20" spans="1:4">
      <c r="C20" s="5"/>
    </row>
    <row r="21" spans="1:4">
      <c r="C21" s="5"/>
    </row>
    <row r="22" spans="1:4">
      <c r="A22" s="2"/>
      <c r="B22" s="2"/>
      <c r="C22" s="3"/>
      <c r="D22" s="2"/>
    </row>
    <row r="23" spans="1:4">
      <c r="A23" s="2"/>
      <c r="B23" s="2"/>
      <c r="C23" s="3"/>
      <c r="D23" s="2"/>
    </row>
    <row r="24" spans="1:4">
      <c r="A24" s="2"/>
      <c r="B24" s="2"/>
      <c r="C24" s="3"/>
      <c r="D24" s="2"/>
    </row>
    <row r="25" spans="1:4">
      <c r="C25" s="5"/>
    </row>
    <row r="26" spans="1:4">
      <c r="A26" s="2"/>
      <c r="B26" s="2"/>
      <c r="C26" s="3"/>
      <c r="D26" s="2"/>
    </row>
    <row r="27" spans="1:4">
      <c r="A27" s="2"/>
      <c r="B27" s="2"/>
      <c r="C27" s="3"/>
      <c r="D27" s="2"/>
    </row>
    <row r="28" spans="1:4">
      <c r="A28" s="2"/>
      <c r="B28" s="2"/>
      <c r="C28" s="3"/>
      <c r="D28" s="2"/>
    </row>
    <row r="29" spans="1:4">
      <c r="A29" s="2"/>
      <c r="B29" s="2"/>
      <c r="C29" s="3"/>
      <c r="D29" s="2"/>
    </row>
    <row r="30" spans="1:4">
      <c r="A30" s="2"/>
      <c r="B30" s="2"/>
      <c r="C30" s="3"/>
      <c r="D30" s="2"/>
    </row>
    <row r="31" spans="1:4">
      <c r="A31" s="2"/>
      <c r="B31" s="2"/>
      <c r="C31" s="3"/>
      <c r="D31" s="2"/>
    </row>
    <row r="32" spans="1:4">
      <c r="A32" s="2"/>
      <c r="B32" s="2"/>
      <c r="C32" s="3"/>
      <c r="D32" s="2"/>
    </row>
    <row r="33" spans="1:4">
      <c r="A33" s="2"/>
      <c r="B33" s="2"/>
      <c r="C33" s="3"/>
      <c r="D33" s="2"/>
    </row>
    <row r="34" spans="1:4">
      <c r="A34" s="2"/>
      <c r="B34" s="2"/>
      <c r="C34" s="3"/>
      <c r="D34" s="2"/>
    </row>
    <row r="35" spans="1:4">
      <c r="A35" s="2"/>
      <c r="B35" s="2"/>
      <c r="C35" s="3"/>
      <c r="D35" s="2"/>
    </row>
    <row r="36" spans="1:4">
      <c r="A36" s="2"/>
      <c r="B36" s="2"/>
      <c r="C36" s="3"/>
      <c r="D36" s="2"/>
    </row>
    <row r="37" spans="1:4">
      <c r="A37" s="2"/>
      <c r="B37" s="2"/>
      <c r="C37" s="3"/>
      <c r="D37" s="2"/>
    </row>
    <row r="38" spans="1:4">
      <c r="A38" s="2"/>
      <c r="B38" s="2"/>
      <c r="C38" s="3"/>
      <c r="D38" s="2"/>
    </row>
    <row r="39" spans="1:4">
      <c r="A39" s="2"/>
      <c r="B39" s="2"/>
      <c r="C39" s="3"/>
      <c r="D39" s="2"/>
    </row>
    <row r="40" spans="1:4">
      <c r="A40" s="2"/>
      <c r="B40" s="2"/>
      <c r="C40" s="3"/>
      <c r="D40" s="2"/>
    </row>
    <row r="41" spans="1:4">
      <c r="A41" s="2"/>
      <c r="B41" s="2"/>
      <c r="C41" s="3"/>
      <c r="D41" s="2"/>
    </row>
    <row r="42" spans="1:4">
      <c r="A42" s="2"/>
      <c r="B42" s="2"/>
      <c r="C42" s="3"/>
      <c r="D42" s="2"/>
    </row>
    <row r="43" spans="1:4">
      <c r="A43" s="2"/>
      <c r="B43" s="2"/>
      <c r="C43" s="3"/>
      <c r="D43" s="2"/>
    </row>
    <row r="44" spans="1:4">
      <c r="A44" s="2"/>
      <c r="B44" s="2"/>
      <c r="C44" s="3"/>
      <c r="D44" s="2"/>
    </row>
    <row r="45" spans="1:4">
      <c r="A45" s="2"/>
      <c r="B45" s="2"/>
      <c r="C45" s="3"/>
      <c r="D45" s="2"/>
    </row>
    <row r="46" spans="1:4">
      <c r="A46" s="2"/>
      <c r="B46" s="2"/>
      <c r="C46" s="3"/>
      <c r="D46" s="2"/>
    </row>
    <row r="47" spans="1:4">
      <c r="A47" s="2"/>
      <c r="B47" s="2"/>
      <c r="C47" s="3"/>
      <c r="D47" s="2"/>
    </row>
    <row r="48" spans="1:4">
      <c r="A48" s="2"/>
      <c r="B48" s="2"/>
      <c r="C48" s="3"/>
      <c r="D48" s="2"/>
    </row>
    <row r="49" spans="1:4">
      <c r="A49" s="2"/>
      <c r="B49" s="2"/>
      <c r="C49" s="3"/>
      <c r="D49" s="2"/>
    </row>
    <row r="50" spans="1:4">
      <c r="A50" s="2"/>
      <c r="B50" s="2"/>
      <c r="C50" s="3"/>
      <c r="D50" s="2"/>
    </row>
    <row r="51" spans="1:4">
      <c r="A51" s="2"/>
      <c r="B51" s="2"/>
      <c r="C51" s="3"/>
      <c r="D51" s="2"/>
    </row>
    <row r="52" spans="1:4">
      <c r="A52" s="2"/>
      <c r="B52" s="2"/>
      <c r="C52" s="3"/>
      <c r="D52" s="2"/>
    </row>
    <row r="53" spans="1:4">
      <c r="A53" s="2"/>
      <c r="B53" s="2"/>
      <c r="C53" s="3"/>
      <c r="D53" s="2"/>
    </row>
    <row r="54" spans="1:4">
      <c r="A54" s="2"/>
      <c r="B54" s="2"/>
      <c r="C54" s="3"/>
      <c r="D54" s="2"/>
    </row>
    <row r="55" spans="1:4">
      <c r="A55" s="2"/>
      <c r="B55" s="2"/>
      <c r="C55" s="3"/>
      <c r="D55" s="2"/>
    </row>
    <row r="56" spans="1:4">
      <c r="A56" s="2"/>
      <c r="B56" s="2"/>
      <c r="C56" s="3"/>
      <c r="D56" s="2"/>
    </row>
    <row r="57" spans="1:4">
      <c r="A57" s="2"/>
      <c r="B57" s="2"/>
      <c r="C57" s="3"/>
      <c r="D57" s="2"/>
    </row>
    <row r="58" spans="1:4">
      <c r="A58" s="2"/>
      <c r="B58" s="2"/>
      <c r="C58" s="3"/>
      <c r="D58" s="2"/>
    </row>
    <row r="59" spans="1:4">
      <c r="A59" s="2"/>
      <c r="B59" s="2"/>
      <c r="C59" s="3"/>
      <c r="D59" s="2"/>
    </row>
    <row r="60" spans="1:4">
      <c r="A60" s="2"/>
      <c r="B60" s="2"/>
      <c r="C60" s="3"/>
      <c r="D60" s="2"/>
    </row>
    <row r="61" spans="1:4">
      <c r="A61" s="2"/>
      <c r="B61" s="2"/>
      <c r="C61" s="3"/>
      <c r="D61" s="2"/>
    </row>
    <row r="62" spans="1:4">
      <c r="A62" s="2"/>
      <c r="B62" s="2"/>
      <c r="C62" s="3"/>
      <c r="D62" s="2"/>
    </row>
    <row r="63" spans="1:4">
      <c r="A63" s="2"/>
      <c r="B63" s="2"/>
      <c r="C63" s="3"/>
      <c r="D63" s="2"/>
    </row>
    <row r="64" spans="1:4">
      <c r="A64" s="2"/>
      <c r="B64" s="2"/>
      <c r="C64" s="3"/>
      <c r="D64" s="2"/>
    </row>
    <row r="65" spans="1:4">
      <c r="A65" s="2"/>
      <c r="B65" s="2"/>
      <c r="C65" s="3"/>
      <c r="D65" s="2"/>
    </row>
    <row r="66" spans="1:4">
      <c r="A66" s="2"/>
      <c r="B66" s="2"/>
      <c r="C66" s="3"/>
      <c r="D66" s="2"/>
    </row>
    <row r="67" spans="1:4">
      <c r="A67" s="2"/>
      <c r="B67" s="2"/>
      <c r="C67" s="3"/>
      <c r="D67" s="2"/>
    </row>
    <row r="68" spans="1:4">
      <c r="A68" s="2"/>
      <c r="B68" s="2"/>
      <c r="C68" s="3"/>
      <c r="D68" s="2"/>
    </row>
    <row r="69" spans="1:4">
      <c r="A69" s="2"/>
      <c r="B69" s="2"/>
      <c r="C69" s="3"/>
      <c r="D69" s="2"/>
    </row>
    <row r="70" spans="1:4">
      <c r="A70" s="2"/>
      <c r="B70" s="3"/>
      <c r="C70" s="2"/>
      <c r="D70" s="2"/>
    </row>
    <row r="71" spans="1:4">
      <c r="A71" s="2"/>
      <c r="B71" s="3"/>
      <c r="C71" s="2"/>
      <c r="D71" s="2"/>
    </row>
    <row r="72" spans="1:4">
      <c r="A72" s="2"/>
      <c r="B72" s="3"/>
      <c r="C72" s="2"/>
      <c r="D72" s="2"/>
    </row>
    <row r="73" spans="1:4">
      <c r="A73" s="2"/>
      <c r="B73" s="3"/>
      <c r="C73" s="2"/>
      <c r="D73" s="2"/>
    </row>
    <row r="74" spans="1:4">
      <c r="A74" s="2"/>
      <c r="B74" s="3"/>
      <c r="C74" s="2"/>
      <c r="D74" s="2"/>
    </row>
    <row r="75" spans="1:4">
      <c r="A75" s="2"/>
      <c r="B75" s="3"/>
      <c r="C75" s="2"/>
      <c r="D75" s="2"/>
    </row>
    <row r="76" spans="1:4">
      <c r="A76" s="2"/>
      <c r="B76" s="3"/>
      <c r="C76" s="2"/>
      <c r="D76" s="2"/>
    </row>
    <row r="77" spans="1:4">
      <c r="A77" s="2"/>
      <c r="B77" s="3"/>
      <c r="C77" s="2"/>
      <c r="D77" s="2"/>
    </row>
    <row r="78" spans="1:4">
      <c r="A78" s="2"/>
      <c r="B78" s="3"/>
      <c r="C78" s="2"/>
      <c r="D78" s="2"/>
    </row>
    <row r="79" spans="1:4">
      <c r="A79" s="2"/>
      <c r="B79" s="3"/>
      <c r="C79" s="2"/>
      <c r="D79" s="2"/>
    </row>
    <row r="80" spans="1:4">
      <c r="A80" s="2"/>
      <c r="B80" s="3"/>
      <c r="C80" s="2"/>
      <c r="D80" s="2"/>
    </row>
    <row r="81" spans="1:4">
      <c r="A81" s="2"/>
      <c r="B81" s="3"/>
      <c r="C81" s="2"/>
      <c r="D81" s="2"/>
    </row>
    <row r="82" spans="1:4">
      <c r="A82" s="2"/>
      <c r="B82" s="3"/>
      <c r="C82" s="2"/>
      <c r="D82" s="2"/>
    </row>
    <row r="83" spans="1:4">
      <c r="A83" s="2"/>
      <c r="B83" s="3"/>
      <c r="C83" s="2"/>
      <c r="D83" s="2"/>
    </row>
    <row r="84" spans="1:4">
      <c r="A84" s="2"/>
      <c r="B84" s="3"/>
      <c r="C84" s="2"/>
      <c r="D84" s="2"/>
    </row>
    <row r="85" spans="1:4">
      <c r="A85" s="2"/>
      <c r="B85" s="3"/>
      <c r="C85" s="2"/>
      <c r="D85" s="2"/>
    </row>
    <row r="86" spans="1:4">
      <c r="A86" s="2"/>
      <c r="B86" s="3"/>
      <c r="C86" s="2"/>
      <c r="D86" s="2"/>
    </row>
    <row r="87" spans="1:4">
      <c r="A87" s="2"/>
      <c r="B87" s="3"/>
      <c r="C87" s="2"/>
      <c r="D87" s="2"/>
    </row>
    <row r="88" spans="1:4">
      <c r="A88" s="2"/>
      <c r="B88" s="3"/>
      <c r="C88" s="2"/>
      <c r="D88" s="2"/>
    </row>
    <row r="89" spans="1:4">
      <c r="A89" s="2"/>
      <c r="B89" s="3"/>
      <c r="C89" s="2"/>
      <c r="D89" s="2"/>
    </row>
    <row r="90" spans="1:4">
      <c r="A90" s="2"/>
      <c r="B90" s="3"/>
      <c r="C90" s="2"/>
      <c r="D90" s="2"/>
    </row>
    <row r="91" spans="1:4">
      <c r="A91" s="2"/>
      <c r="B91" s="3"/>
      <c r="C91" s="2"/>
      <c r="D91" s="2"/>
    </row>
    <row r="92" spans="1:4">
      <c r="B92" s="5"/>
    </row>
    <row r="93" spans="1:4">
      <c r="B93" s="5"/>
    </row>
    <row r="94" spans="1:4">
      <c r="B94" s="5"/>
    </row>
    <row r="95" spans="1:4">
      <c r="B95" s="5"/>
    </row>
    <row r="96" spans="1:4">
      <c r="B96" s="5"/>
    </row>
    <row r="97" spans="2:2">
      <c r="B97" s="5"/>
    </row>
    <row r="98" spans="2:2">
      <c r="B98" s="5"/>
    </row>
    <row r="99" spans="2:2">
      <c r="B99" s="5"/>
    </row>
    <row r="100" spans="2:2">
      <c r="B100" s="5"/>
    </row>
    <row r="102" spans="2:2">
      <c r="B102" s="5"/>
    </row>
    <row r="103" spans="2:2">
      <c r="B103" s="5"/>
    </row>
    <row r="104" spans="2:2">
      <c r="B104" s="5"/>
    </row>
    <row r="106" spans="2:2">
      <c r="B106" s="5"/>
    </row>
    <row r="107" spans="2:2">
      <c r="B107" s="5"/>
    </row>
    <row r="108" spans="2:2">
      <c r="B108" s="5"/>
    </row>
    <row r="109" spans="2:2">
      <c r="B109" s="5"/>
    </row>
    <row r="110" spans="2:2">
      <c r="B110" s="5"/>
    </row>
    <row r="111" spans="2:2">
      <c r="B111" s="5"/>
    </row>
    <row r="112" spans="2:2">
      <c r="B112" s="5"/>
    </row>
    <row r="113" spans="2:2">
      <c r="B113" s="5"/>
    </row>
    <row r="114" spans="2:2">
      <c r="B114" s="5"/>
    </row>
    <row r="115" spans="2:2">
      <c r="B115" s="5"/>
    </row>
    <row r="116" spans="2:2">
      <c r="B116" s="5"/>
    </row>
    <row r="119" spans="2:2">
      <c r="B119" s="5"/>
    </row>
    <row r="120" spans="2:2">
      <c r="B120" s="5"/>
    </row>
    <row r="121" spans="2:2">
      <c r="B121" s="5"/>
    </row>
    <row r="122" spans="2:2">
      <c r="B122" s="5"/>
    </row>
    <row r="123" spans="2:2">
      <c r="B123" s="5"/>
    </row>
    <row r="124" spans="2:2">
      <c r="B124" s="5"/>
    </row>
    <row r="125" spans="2:2">
      <c r="B125" s="5"/>
    </row>
    <row r="126" spans="2:2">
      <c r="B126" s="5"/>
    </row>
    <row r="127" spans="2:2">
      <c r="B127" s="5"/>
    </row>
    <row r="128" spans="2:2">
      <c r="B128" s="5"/>
    </row>
    <row r="129" spans="2:2">
      <c r="B129" s="5"/>
    </row>
    <row r="130" spans="2:2">
      <c r="B130" s="5"/>
    </row>
    <row r="131" spans="2:2">
      <c r="B131" s="5"/>
    </row>
    <row r="133" spans="2:2">
      <c r="B133" s="6"/>
    </row>
  </sheetData>
  <sheetProtection formatCells="0" formatColumns="0" formatRows="0" insertColumns="0" insertRows="0" selectLockedCells="1"/>
  <protectedRanges>
    <protectedRange sqref="D81:D96 A81:B96 A97:D1048576 A2:D80" name="Range1"/>
  </protectedRange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StartHere</vt:lpstr>
      <vt:lpstr>Revenue</vt:lpstr>
      <vt:lpstr>GA_county_tax</vt:lpstr>
      <vt:lpstr>ScoreByWeek</vt:lpstr>
      <vt:lpstr>Quarterly</vt:lpstr>
      <vt:lpstr>Circulation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Kurt Schmitz</dc:creator>
  <cp:keywords/>
  <dc:description/>
  <cp:lastModifiedBy>Raisa Basher</cp:lastModifiedBy>
  <dcterms:created xsi:type="dcterms:W3CDTF">2017-10-26T20:43:12Z</dcterms:created>
  <dcterms:modified xsi:type="dcterms:W3CDTF">2022-09-06T17:34:42Z</dcterms:modified>
  <cp:category/>
</cp:coreProperties>
</file>